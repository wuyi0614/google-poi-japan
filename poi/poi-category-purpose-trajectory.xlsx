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mario/github/google-poi-japan/poi/"/>
    </mc:Choice>
  </mc:AlternateContent>
  <xr:revisionPtr revIDLastSave="0" documentId="13_ncr:1_{A7727A6E-424F-724F-B51E-0D30A20210D3}" xr6:coauthVersionLast="47" xr6:coauthVersionMax="47" xr10:uidLastSave="{00000000-0000-0000-0000-000000000000}"/>
  <bookViews>
    <workbookView xWindow="-5020" yWindow="-21100" windowWidth="3840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2" i="1" l="1"/>
  <c r="M72" i="1"/>
  <c r="L72" i="1"/>
  <c r="K72" i="1"/>
  <c r="J72" i="1"/>
  <c r="I72" i="1"/>
  <c r="N71" i="1"/>
  <c r="M71" i="1"/>
  <c r="L71" i="1"/>
  <c r="K71" i="1"/>
  <c r="J71" i="1"/>
  <c r="I71" i="1"/>
  <c r="N70" i="1"/>
  <c r="M70" i="1"/>
  <c r="L70" i="1"/>
  <c r="K70" i="1"/>
  <c r="J70" i="1"/>
  <c r="I70" i="1"/>
  <c r="N27" i="1"/>
  <c r="M27" i="1"/>
  <c r="L27" i="1"/>
  <c r="K27" i="1"/>
  <c r="J27" i="1"/>
  <c r="I27" i="1"/>
  <c r="N26" i="1"/>
  <c r="M26" i="1"/>
  <c r="L26" i="1"/>
  <c r="K26" i="1"/>
  <c r="J26" i="1"/>
  <c r="I26" i="1"/>
  <c r="N11" i="1"/>
  <c r="M11" i="1"/>
  <c r="L11" i="1"/>
  <c r="K11" i="1"/>
  <c r="J11" i="1"/>
  <c r="I11" i="1"/>
  <c r="N20" i="1"/>
  <c r="M20" i="1"/>
  <c r="L20" i="1"/>
  <c r="K20" i="1"/>
  <c r="J20" i="1"/>
  <c r="I20" i="1"/>
  <c r="N65" i="1"/>
  <c r="M65" i="1"/>
  <c r="L65" i="1"/>
  <c r="K65" i="1"/>
  <c r="J65" i="1"/>
  <c r="I65" i="1"/>
  <c r="N59" i="1"/>
  <c r="M59" i="1"/>
  <c r="L59" i="1"/>
  <c r="K59" i="1"/>
  <c r="J59" i="1"/>
  <c r="I59" i="1"/>
  <c r="N64" i="1"/>
  <c r="M64" i="1"/>
  <c r="L64" i="1"/>
  <c r="K64" i="1"/>
  <c r="J64" i="1"/>
  <c r="I64" i="1"/>
  <c r="N43" i="1"/>
  <c r="M43" i="1"/>
  <c r="L43" i="1"/>
  <c r="K43" i="1"/>
  <c r="J43" i="1"/>
  <c r="I43" i="1"/>
  <c r="N19" i="1"/>
  <c r="M19" i="1"/>
  <c r="L19" i="1"/>
  <c r="K19" i="1"/>
  <c r="J19" i="1"/>
  <c r="I19" i="1"/>
  <c r="N63" i="1"/>
  <c r="M63" i="1"/>
  <c r="L63" i="1"/>
  <c r="K63" i="1"/>
  <c r="J63" i="1"/>
  <c r="I63" i="1"/>
  <c r="N52" i="1"/>
  <c r="M52" i="1"/>
  <c r="L52" i="1"/>
  <c r="K52" i="1"/>
  <c r="J52" i="1"/>
  <c r="I52" i="1"/>
  <c r="N42" i="1"/>
  <c r="M42" i="1"/>
  <c r="L42" i="1"/>
  <c r="K42" i="1"/>
  <c r="J42" i="1"/>
  <c r="I42" i="1"/>
  <c r="N36" i="1"/>
  <c r="M36" i="1"/>
  <c r="L36" i="1"/>
  <c r="K36" i="1"/>
  <c r="J36" i="1"/>
  <c r="I36" i="1"/>
  <c r="N25" i="1"/>
  <c r="M25" i="1"/>
  <c r="L25" i="1"/>
  <c r="K25" i="1"/>
  <c r="J25" i="1"/>
  <c r="I25" i="1"/>
  <c r="N51" i="1"/>
  <c r="M51" i="1"/>
  <c r="L51" i="1"/>
  <c r="K51" i="1"/>
  <c r="J51" i="1"/>
  <c r="I51" i="1"/>
  <c r="N41" i="1"/>
  <c r="M41" i="1"/>
  <c r="L41" i="1"/>
  <c r="K41" i="1"/>
  <c r="J41" i="1"/>
  <c r="I41" i="1"/>
  <c r="N47" i="1"/>
  <c r="M47" i="1"/>
  <c r="L47" i="1"/>
  <c r="K47" i="1"/>
  <c r="J47" i="1"/>
  <c r="I47" i="1"/>
  <c r="N46" i="1"/>
  <c r="M46" i="1"/>
  <c r="L46" i="1"/>
  <c r="K46" i="1"/>
  <c r="J46" i="1"/>
  <c r="I46" i="1"/>
  <c r="N45" i="1"/>
  <c r="M45" i="1"/>
  <c r="L45" i="1"/>
  <c r="K45" i="1"/>
  <c r="J45" i="1"/>
  <c r="I45" i="1"/>
  <c r="N69" i="1"/>
  <c r="M69" i="1"/>
  <c r="L69" i="1"/>
  <c r="K69" i="1"/>
  <c r="J69" i="1"/>
  <c r="I69" i="1"/>
  <c r="N58" i="1"/>
  <c r="M58" i="1"/>
  <c r="L58" i="1"/>
  <c r="K58" i="1"/>
  <c r="J58" i="1"/>
  <c r="I58" i="1"/>
  <c r="N67" i="1"/>
  <c r="M67" i="1"/>
  <c r="L67" i="1"/>
  <c r="K67" i="1"/>
  <c r="J67" i="1"/>
  <c r="I67" i="1"/>
  <c r="N62" i="1"/>
  <c r="M62" i="1"/>
  <c r="L62" i="1"/>
  <c r="K62" i="1"/>
  <c r="J62" i="1"/>
  <c r="I62" i="1"/>
  <c r="N24" i="1"/>
  <c r="M24" i="1"/>
  <c r="L24" i="1"/>
  <c r="K24" i="1"/>
  <c r="J24" i="1"/>
  <c r="I24" i="1"/>
  <c r="N18" i="1"/>
  <c r="M18" i="1"/>
  <c r="L18" i="1"/>
  <c r="K18" i="1"/>
  <c r="J18" i="1"/>
  <c r="I18" i="1"/>
  <c r="N57" i="1"/>
  <c r="M57" i="1"/>
  <c r="L57" i="1"/>
  <c r="K57" i="1"/>
  <c r="J57" i="1"/>
  <c r="I57" i="1"/>
  <c r="N50" i="1"/>
  <c r="M50" i="1"/>
  <c r="L50" i="1"/>
  <c r="K50" i="1"/>
  <c r="J50" i="1"/>
  <c r="I50" i="1"/>
  <c r="N44" i="1"/>
  <c r="M44" i="1"/>
  <c r="L44" i="1"/>
  <c r="K44" i="1"/>
  <c r="J44" i="1"/>
  <c r="I44" i="1"/>
  <c r="N35" i="1"/>
  <c r="M35" i="1"/>
  <c r="L35" i="1"/>
  <c r="K35" i="1"/>
  <c r="J35" i="1"/>
  <c r="I35" i="1"/>
  <c r="N30" i="1"/>
  <c r="M30" i="1"/>
  <c r="L30" i="1"/>
  <c r="K30" i="1"/>
  <c r="J30" i="1"/>
  <c r="I30" i="1"/>
  <c r="N10" i="1"/>
  <c r="M10" i="1"/>
  <c r="L10" i="1"/>
  <c r="K10" i="1"/>
  <c r="J10" i="1"/>
  <c r="I10" i="1"/>
  <c r="N49" i="1"/>
  <c r="M49" i="1"/>
  <c r="L49" i="1"/>
  <c r="K49" i="1"/>
  <c r="J49" i="1"/>
  <c r="I49" i="1"/>
  <c r="N40" i="1"/>
  <c r="M40" i="1"/>
  <c r="L40" i="1"/>
  <c r="K40" i="1"/>
  <c r="J40" i="1"/>
  <c r="I40" i="1"/>
  <c r="N56" i="1"/>
  <c r="M56" i="1"/>
  <c r="L56" i="1"/>
  <c r="K56" i="1"/>
  <c r="J56" i="1"/>
  <c r="I56" i="1"/>
  <c r="N48" i="1"/>
  <c r="M48" i="1"/>
  <c r="L48" i="1"/>
  <c r="K48" i="1"/>
  <c r="J48" i="1"/>
  <c r="I48" i="1"/>
  <c r="N9" i="1"/>
  <c r="M9" i="1"/>
  <c r="L9" i="1"/>
  <c r="K9" i="1"/>
  <c r="J9" i="1"/>
  <c r="I9" i="1"/>
  <c r="N34" i="1"/>
  <c r="M34" i="1"/>
  <c r="L34" i="1"/>
  <c r="K34" i="1"/>
  <c r="J34" i="1"/>
  <c r="I34" i="1"/>
  <c r="N8" i="1"/>
  <c r="M8" i="1"/>
  <c r="L8" i="1"/>
  <c r="K8" i="1"/>
  <c r="J8" i="1"/>
  <c r="I8" i="1"/>
  <c r="N33" i="1"/>
  <c r="M33" i="1"/>
  <c r="L33" i="1"/>
  <c r="K33" i="1"/>
  <c r="J33" i="1"/>
  <c r="I33" i="1"/>
  <c r="N23" i="1"/>
  <c r="M23" i="1"/>
  <c r="L23" i="1"/>
  <c r="K23" i="1"/>
  <c r="J23" i="1"/>
  <c r="I23" i="1"/>
  <c r="N55" i="1"/>
  <c r="M55" i="1"/>
  <c r="L55" i="1"/>
  <c r="K55" i="1"/>
  <c r="J55" i="1"/>
  <c r="I55" i="1"/>
  <c r="N22" i="1"/>
  <c r="M22" i="1"/>
  <c r="L22" i="1"/>
  <c r="K22" i="1"/>
  <c r="J22" i="1"/>
  <c r="I22" i="1"/>
  <c r="N17" i="1"/>
  <c r="M17" i="1"/>
  <c r="L17" i="1"/>
  <c r="K17" i="1"/>
  <c r="J17" i="1"/>
  <c r="I17" i="1"/>
  <c r="N29" i="1"/>
  <c r="M29" i="1"/>
  <c r="L29" i="1"/>
  <c r="K29" i="1"/>
  <c r="J29" i="1"/>
  <c r="I29" i="1"/>
  <c r="N75" i="1"/>
  <c r="M75" i="1"/>
  <c r="L75" i="1"/>
  <c r="K75" i="1"/>
  <c r="J75" i="1"/>
  <c r="I75" i="1"/>
  <c r="N4" i="1"/>
  <c r="M4" i="1"/>
  <c r="L4" i="1"/>
  <c r="K4" i="1"/>
  <c r="J4" i="1"/>
  <c r="I4" i="1"/>
  <c r="O4" i="1"/>
  <c r="N39" i="1"/>
  <c r="M39" i="1"/>
  <c r="L39" i="1"/>
  <c r="K39" i="1"/>
  <c r="J39" i="1"/>
  <c r="I39" i="1"/>
  <c r="N61" i="1"/>
  <c r="M61" i="1"/>
  <c r="L61" i="1"/>
  <c r="K61" i="1"/>
  <c r="J61" i="1"/>
  <c r="I61" i="1"/>
  <c r="N60" i="1"/>
  <c r="M60" i="1"/>
  <c r="L60" i="1"/>
  <c r="K60" i="1"/>
  <c r="J60" i="1"/>
  <c r="I60" i="1"/>
  <c r="N68" i="1"/>
  <c r="M68" i="1"/>
  <c r="L68" i="1"/>
  <c r="K68" i="1"/>
  <c r="J68" i="1"/>
  <c r="I68" i="1"/>
  <c r="N16" i="1"/>
  <c r="M16" i="1"/>
  <c r="L16" i="1"/>
  <c r="K16" i="1"/>
  <c r="J16" i="1"/>
  <c r="I16" i="1"/>
  <c r="N15" i="1"/>
  <c r="M15" i="1"/>
  <c r="L15" i="1"/>
  <c r="K15" i="1"/>
  <c r="J15" i="1"/>
  <c r="I15" i="1"/>
  <c r="N74" i="1"/>
  <c r="M74" i="1"/>
  <c r="L74" i="1"/>
  <c r="K74" i="1"/>
  <c r="J74" i="1"/>
  <c r="I74" i="1"/>
  <c r="N14" i="1"/>
  <c r="M14" i="1"/>
  <c r="L14" i="1"/>
  <c r="K14" i="1"/>
  <c r="J14" i="1"/>
  <c r="I14" i="1"/>
  <c r="N38" i="1"/>
  <c r="M38" i="1"/>
  <c r="L38" i="1"/>
  <c r="K38" i="1"/>
  <c r="J38" i="1"/>
  <c r="I38" i="1"/>
  <c r="N66" i="1"/>
  <c r="M66" i="1"/>
  <c r="L66" i="1"/>
  <c r="K66" i="1"/>
  <c r="J66" i="1"/>
  <c r="I66" i="1"/>
  <c r="N21" i="1"/>
  <c r="M21" i="1"/>
  <c r="L21" i="1"/>
  <c r="K21" i="1"/>
  <c r="J21" i="1"/>
  <c r="I21" i="1"/>
  <c r="N32" i="1"/>
  <c r="M32" i="1"/>
  <c r="L32" i="1"/>
  <c r="K32" i="1"/>
  <c r="J32" i="1"/>
  <c r="I32" i="1"/>
  <c r="T32" i="1" s="1"/>
  <c r="N7" i="1"/>
  <c r="M7" i="1"/>
  <c r="L7" i="1"/>
  <c r="K7" i="1"/>
  <c r="J7" i="1"/>
  <c r="I7" i="1"/>
  <c r="N6" i="1"/>
  <c r="M6" i="1"/>
  <c r="L6" i="1"/>
  <c r="K6" i="1"/>
  <c r="J6" i="1"/>
  <c r="I6" i="1"/>
  <c r="N54" i="1"/>
  <c r="M54" i="1"/>
  <c r="L54" i="1"/>
  <c r="K54" i="1"/>
  <c r="J54" i="1"/>
  <c r="I54" i="1"/>
  <c r="N37" i="1"/>
  <c r="M37" i="1"/>
  <c r="L37" i="1"/>
  <c r="K37" i="1"/>
  <c r="J37" i="1"/>
  <c r="I37" i="1"/>
  <c r="N13" i="1"/>
  <c r="M13" i="1"/>
  <c r="L13" i="1"/>
  <c r="K13" i="1"/>
  <c r="J13" i="1"/>
  <c r="I13" i="1"/>
  <c r="N73" i="1"/>
  <c r="M73" i="1"/>
  <c r="L73" i="1"/>
  <c r="K73" i="1"/>
  <c r="J73" i="1"/>
  <c r="I73" i="1"/>
  <c r="N12" i="1"/>
  <c r="M12" i="1"/>
  <c r="L12" i="1"/>
  <c r="K12" i="1"/>
  <c r="J12" i="1"/>
  <c r="I12" i="1"/>
  <c r="N31" i="1"/>
  <c r="M31" i="1"/>
  <c r="L31" i="1"/>
  <c r="K31" i="1"/>
  <c r="J31" i="1"/>
  <c r="I31" i="1"/>
  <c r="N53" i="1"/>
  <c r="M53" i="1"/>
  <c r="L53" i="1"/>
  <c r="K53" i="1"/>
  <c r="J53" i="1"/>
  <c r="I53" i="1"/>
  <c r="N28" i="1"/>
  <c r="M28" i="1"/>
  <c r="L28" i="1"/>
  <c r="K28" i="1"/>
  <c r="J28" i="1"/>
  <c r="I28" i="1"/>
  <c r="N5" i="1"/>
  <c r="M5" i="1"/>
  <c r="L5" i="1"/>
  <c r="K5" i="1"/>
  <c r="J5" i="1"/>
  <c r="I5" i="1"/>
  <c r="N3" i="1"/>
  <c r="M3" i="1"/>
  <c r="L3" i="1"/>
  <c r="K3" i="1"/>
  <c r="J3" i="1"/>
  <c r="I3" i="1"/>
  <c r="P57" i="1" l="1"/>
  <c r="T46" i="1"/>
  <c r="R59" i="1"/>
  <c r="P10" i="1"/>
  <c r="Q47" i="1"/>
  <c r="S19" i="1"/>
  <c r="R64" i="1"/>
  <c r="S27" i="1"/>
  <c r="T69" i="1"/>
  <c r="R60" i="1"/>
  <c r="T75" i="1"/>
  <c r="T9" i="1"/>
  <c r="Q63" i="1"/>
  <c r="Q59" i="1"/>
  <c r="P29" i="1"/>
  <c r="Q38" i="1"/>
  <c r="T55" i="1"/>
  <c r="Q4" i="1"/>
  <c r="P21" i="1"/>
  <c r="P55" i="1"/>
  <c r="R38" i="1"/>
  <c r="T15" i="1"/>
  <c r="S9" i="1"/>
  <c r="T62" i="1"/>
  <c r="R58" i="1"/>
  <c r="R69" i="1"/>
  <c r="R45" i="1"/>
  <c r="P47" i="1"/>
  <c r="Q18" i="1"/>
  <c r="P7" i="1"/>
  <c r="O33" i="1"/>
  <c r="P8" i="1"/>
  <c r="Q34" i="1"/>
  <c r="R40" i="1"/>
  <c r="S49" i="1"/>
  <c r="T44" i="1"/>
  <c r="T24" i="1"/>
  <c r="R65" i="1"/>
  <c r="O20" i="1"/>
  <c r="O26" i="1"/>
  <c r="O27" i="1"/>
  <c r="T70" i="1"/>
  <c r="S72" i="1"/>
  <c r="Q10" i="1"/>
  <c r="Q71" i="1"/>
  <c r="S74" i="1"/>
  <c r="S6" i="1"/>
  <c r="S30" i="1"/>
  <c r="S31" i="1"/>
  <c r="Q73" i="1"/>
  <c r="R13" i="1"/>
  <c r="T37" i="1"/>
  <c r="P6" i="1"/>
  <c r="Q33" i="1"/>
  <c r="R63" i="1"/>
  <c r="R26" i="1"/>
  <c r="S37" i="1"/>
  <c r="Q22" i="1"/>
  <c r="S16" i="1"/>
  <c r="T22" i="1"/>
  <c r="Q52" i="1"/>
  <c r="Q64" i="1"/>
  <c r="S59" i="1"/>
  <c r="S14" i="1"/>
  <c r="P4" i="1"/>
  <c r="Q30" i="1"/>
  <c r="P46" i="1"/>
  <c r="Q6" i="1"/>
  <c r="T7" i="1"/>
  <c r="T38" i="1"/>
  <c r="R55" i="1"/>
  <c r="P62" i="1"/>
  <c r="R51" i="1"/>
  <c r="P53" i="1"/>
  <c r="P22" i="1"/>
  <c r="R31" i="1"/>
  <c r="O6" i="1"/>
  <c r="R21" i="1"/>
  <c r="R66" i="1"/>
  <c r="R74" i="1"/>
  <c r="R15" i="1"/>
  <c r="Q60" i="1"/>
  <c r="T4" i="1"/>
  <c r="Q17" i="1"/>
  <c r="T67" i="1"/>
  <c r="P69" i="1"/>
  <c r="P51" i="1"/>
  <c r="T36" i="1"/>
  <c r="P52" i="1"/>
  <c r="T63" i="1"/>
  <c r="T43" i="1"/>
  <c r="T59" i="1"/>
  <c r="Q65" i="1"/>
  <c r="T72" i="1"/>
  <c r="P63" i="1"/>
  <c r="O69" i="1"/>
  <c r="S5" i="1"/>
  <c r="T60" i="1"/>
  <c r="S58" i="1"/>
  <c r="T54" i="1"/>
  <c r="S32" i="1"/>
  <c r="T39" i="1"/>
  <c r="P75" i="1"/>
  <c r="Q29" i="1"/>
  <c r="T33" i="1"/>
  <c r="T10" i="1"/>
  <c r="P35" i="1"/>
  <c r="Q51" i="1"/>
  <c r="S25" i="1"/>
  <c r="O42" i="1"/>
  <c r="P72" i="1"/>
  <c r="R8" i="1"/>
  <c r="P74" i="1"/>
  <c r="P30" i="1"/>
  <c r="Q58" i="1"/>
  <c r="R52" i="1"/>
  <c r="S62" i="1"/>
  <c r="O22" i="1"/>
  <c r="O71" i="1"/>
  <c r="Q5" i="1"/>
  <c r="S28" i="1"/>
  <c r="Q66" i="1"/>
  <c r="R17" i="1"/>
  <c r="R22" i="1"/>
  <c r="T8" i="1"/>
  <c r="P9" i="1"/>
  <c r="T18" i="1"/>
  <c r="O19" i="1"/>
  <c r="Q43" i="1"/>
  <c r="Q26" i="1"/>
  <c r="O38" i="1"/>
  <c r="Q15" i="1"/>
  <c r="T49" i="1"/>
  <c r="Q41" i="1"/>
  <c r="O72" i="1"/>
  <c r="Q27" i="1"/>
  <c r="T53" i="1"/>
  <c r="T13" i="1"/>
  <c r="S60" i="1"/>
  <c r="O10" i="1"/>
  <c r="R50" i="1"/>
  <c r="S52" i="1"/>
  <c r="R72" i="1"/>
  <c r="T26" i="1"/>
  <c r="T73" i="1"/>
  <c r="R61" i="1"/>
  <c r="P17" i="1"/>
  <c r="Q23" i="1"/>
  <c r="P33" i="1"/>
  <c r="Q9" i="1"/>
  <c r="Q44" i="1"/>
  <c r="Q50" i="1"/>
  <c r="S57" i="1"/>
  <c r="S24" i="1"/>
  <c r="T42" i="1"/>
  <c r="O63" i="1"/>
  <c r="P18" i="1"/>
  <c r="R16" i="1"/>
  <c r="T27" i="1"/>
  <c r="Q72" i="1"/>
  <c r="Q3" i="1"/>
  <c r="S12" i="1"/>
  <c r="P13" i="1"/>
  <c r="T6" i="1"/>
  <c r="T68" i="1"/>
  <c r="T29" i="1"/>
  <c r="S55" i="1"/>
  <c r="O52" i="1"/>
  <c r="O59" i="1"/>
  <c r="Q56" i="1"/>
  <c r="S56" i="1"/>
  <c r="R56" i="1"/>
  <c r="Q61" i="1"/>
  <c r="S8" i="1"/>
  <c r="P34" i="1"/>
  <c r="P3" i="1"/>
  <c r="O3" i="1"/>
  <c r="R3" i="1"/>
  <c r="O32" i="1"/>
  <c r="O21" i="1"/>
  <c r="P66" i="1"/>
  <c r="Q14" i="1"/>
  <c r="Q74" i="1"/>
  <c r="T16" i="1"/>
  <c r="P56" i="1"/>
  <c r="O35" i="1"/>
  <c r="S41" i="1"/>
  <c r="R19" i="1"/>
  <c r="P19" i="1"/>
  <c r="R43" i="1"/>
  <c r="P43" i="1"/>
  <c r="O43" i="1"/>
  <c r="T20" i="1"/>
  <c r="S20" i="1"/>
  <c r="S35" i="1"/>
  <c r="Q42" i="1"/>
  <c r="S26" i="1"/>
  <c r="R54" i="1"/>
  <c r="Q70" i="1"/>
  <c r="O61" i="1"/>
  <c r="R73" i="1"/>
  <c r="Q37" i="1"/>
  <c r="T31" i="1"/>
  <c r="Q31" i="1"/>
  <c r="O68" i="1"/>
  <c r="O28" i="1"/>
  <c r="P31" i="1"/>
  <c r="Q12" i="1"/>
  <c r="T12" i="1"/>
  <c r="P12" i="1"/>
  <c r="O7" i="1"/>
  <c r="R14" i="1"/>
  <c r="O9" i="1"/>
  <c r="R9" i="1"/>
  <c r="P48" i="1"/>
  <c r="S40" i="1"/>
  <c r="O30" i="1"/>
  <c r="R35" i="1"/>
  <c r="Q35" i="1"/>
  <c r="O67" i="1"/>
  <c r="P58" i="1"/>
  <c r="T58" i="1"/>
  <c r="O58" i="1"/>
  <c r="Q19" i="1"/>
  <c r="S43" i="1"/>
  <c r="O65" i="1"/>
  <c r="T65" i="1"/>
  <c r="S65" i="1"/>
  <c r="P65" i="1"/>
  <c r="Q11" i="1"/>
  <c r="T71" i="1"/>
  <c r="S71" i="1"/>
  <c r="R71" i="1"/>
  <c r="P71" i="1"/>
  <c r="T66" i="1"/>
  <c r="O44" i="1"/>
  <c r="P44" i="1"/>
  <c r="P28" i="1"/>
  <c r="S67" i="1"/>
  <c r="S44" i="1"/>
  <c r="Q32" i="1"/>
  <c r="T74" i="1"/>
  <c r="T34" i="1"/>
  <c r="Q46" i="1"/>
  <c r="O46" i="1"/>
  <c r="R41" i="1"/>
  <c r="P20" i="1"/>
  <c r="O31" i="1"/>
  <c r="R57" i="1"/>
  <c r="T30" i="1"/>
  <c r="R32" i="1"/>
  <c r="Q55" i="1"/>
  <c r="R23" i="1"/>
  <c r="S18" i="1"/>
  <c r="T23" i="1"/>
  <c r="O18" i="1"/>
  <c r="O29" i="1"/>
  <c r="R30" i="1"/>
  <c r="R39" i="1"/>
  <c r="T3" i="1"/>
  <c r="O53" i="1"/>
  <c r="Q53" i="1"/>
  <c r="O73" i="1"/>
  <c r="S73" i="1"/>
  <c r="R6" i="1"/>
  <c r="R7" i="1"/>
  <c r="S38" i="1"/>
  <c r="O74" i="1"/>
  <c r="Q68" i="1"/>
  <c r="P68" i="1"/>
  <c r="S68" i="1"/>
  <c r="T61" i="1"/>
  <c r="S22" i="1"/>
  <c r="R33" i="1"/>
  <c r="S33" i="1"/>
  <c r="R48" i="1"/>
  <c r="R62" i="1"/>
  <c r="O62" i="1"/>
  <c r="O45" i="1"/>
  <c r="T45" i="1"/>
  <c r="S45" i="1"/>
  <c r="P45" i="1"/>
  <c r="Q36" i="1"/>
  <c r="S63" i="1"/>
  <c r="T19" i="1"/>
  <c r="T64" i="1"/>
  <c r="R20" i="1"/>
  <c r="O8" i="1"/>
  <c r="Q8" i="1"/>
  <c r="O11" i="1"/>
  <c r="T11" i="1"/>
  <c r="S11" i="1"/>
  <c r="P11" i="1"/>
  <c r="R44" i="1"/>
  <c r="P14" i="1"/>
  <c r="T5" i="1"/>
  <c r="R75" i="1"/>
  <c r="S75" i="1"/>
  <c r="S3" i="1"/>
  <c r="O56" i="1"/>
  <c r="Q28" i="1"/>
  <c r="Q7" i="1"/>
  <c r="T14" i="1"/>
  <c r="S61" i="1"/>
  <c r="R29" i="1"/>
  <c r="Q48" i="1"/>
  <c r="O48" i="1"/>
  <c r="S10" i="1"/>
  <c r="R10" i="1"/>
  <c r="O24" i="1"/>
  <c r="P24" i="1"/>
  <c r="T57" i="1"/>
  <c r="T21" i="1"/>
  <c r="P61" i="1"/>
  <c r="R12" i="1"/>
  <c r="O54" i="1"/>
  <c r="S29" i="1"/>
  <c r="O41" i="1"/>
  <c r="S34" i="1"/>
  <c r="T56" i="1"/>
  <c r="O14" i="1"/>
  <c r="S46" i="1"/>
  <c r="Q39" i="1"/>
  <c r="O5" i="1"/>
  <c r="R53" i="1"/>
  <c r="S53" i="1"/>
  <c r="O12" i="1"/>
  <c r="P73" i="1"/>
  <c r="P37" i="1"/>
  <c r="R37" i="1"/>
  <c r="O37" i="1"/>
  <c r="P54" i="1"/>
  <c r="S7" i="1"/>
  <c r="S15" i="1"/>
  <c r="O15" i="1"/>
  <c r="P15" i="1"/>
  <c r="O39" i="1"/>
  <c r="S4" i="1"/>
  <c r="R4" i="1"/>
  <c r="O23" i="1"/>
  <c r="S48" i="1"/>
  <c r="O40" i="1"/>
  <c r="Q40" i="1"/>
  <c r="T40" i="1"/>
  <c r="O49" i="1"/>
  <c r="Q49" i="1"/>
  <c r="P49" i="1"/>
  <c r="O50" i="1"/>
  <c r="T50" i="1"/>
  <c r="S50" i="1"/>
  <c r="R18" i="1"/>
  <c r="Q24" i="1"/>
  <c r="Q62" i="1"/>
  <c r="R67" i="1"/>
  <c r="O25" i="1"/>
  <c r="S36" i="1"/>
  <c r="R36" i="1"/>
  <c r="O36" i="1"/>
  <c r="P36" i="1"/>
  <c r="R42" i="1"/>
  <c r="R11" i="1"/>
  <c r="P27" i="1"/>
  <c r="R27" i="1"/>
  <c r="R70" i="1"/>
  <c r="O66" i="1"/>
  <c r="S66" i="1"/>
  <c r="Q67" i="1"/>
  <c r="R47" i="1"/>
  <c r="S47" i="1"/>
  <c r="T47" i="1"/>
  <c r="O47" i="1"/>
  <c r="O70" i="1"/>
  <c r="Q54" i="1"/>
  <c r="P39" i="1"/>
  <c r="T28" i="1"/>
  <c r="Q13" i="1"/>
  <c r="O13" i="1"/>
  <c r="S13" i="1"/>
  <c r="Q21" i="1"/>
  <c r="P16" i="1"/>
  <c r="Q16" i="1"/>
  <c r="O16" i="1"/>
  <c r="Q57" i="1"/>
  <c r="P42" i="1"/>
  <c r="R68" i="1"/>
  <c r="T25" i="1"/>
  <c r="P32" i="1"/>
  <c r="P25" i="1"/>
  <c r="S21" i="1"/>
  <c r="Q20" i="1"/>
  <c r="P41" i="1"/>
  <c r="O75" i="1"/>
  <c r="Q75" i="1"/>
  <c r="R46" i="1"/>
  <c r="S39" i="1"/>
  <c r="P5" i="1"/>
  <c r="R5" i="1"/>
  <c r="R28" i="1"/>
  <c r="S54" i="1"/>
  <c r="O17" i="1"/>
  <c r="T17" i="1"/>
  <c r="S17" i="1"/>
  <c r="O55" i="1"/>
  <c r="P23" i="1"/>
  <c r="S23" i="1"/>
  <c r="R34" i="1"/>
  <c r="T48" i="1"/>
  <c r="P40" i="1"/>
  <c r="R49" i="1"/>
  <c r="T35" i="1"/>
  <c r="P50" i="1"/>
  <c r="O57" i="1"/>
  <c r="R24" i="1"/>
  <c r="S69" i="1"/>
  <c r="Q69" i="1"/>
  <c r="Q45" i="1"/>
  <c r="O51" i="1"/>
  <c r="T51" i="1"/>
  <c r="S51" i="1"/>
  <c r="Q25" i="1"/>
  <c r="S42" i="1"/>
  <c r="T52" i="1"/>
  <c r="P26" i="1"/>
  <c r="P64" i="1"/>
  <c r="O34" i="1"/>
  <c r="P38" i="1"/>
  <c r="P67" i="1"/>
  <c r="O60" i="1"/>
  <c r="S64" i="1"/>
  <c r="P60" i="1"/>
  <c r="P59" i="1"/>
  <c r="S70" i="1"/>
  <c r="P70" i="1"/>
  <c r="T41" i="1"/>
  <c r="O64" i="1"/>
  <c r="R25" i="1"/>
</calcChain>
</file>

<file path=xl/sharedStrings.xml><?xml version="1.0" encoding="utf-8"?>
<sst xmlns="http://schemas.openxmlformats.org/spreadsheetml/2006/main" count="170" uniqueCount="111">
  <si>
    <t>Categories</t>
    <phoneticPr fontId="2" type="noConversion"/>
  </si>
  <si>
    <t>Visit frequency</t>
    <phoneticPr fontId="2" type="noConversion"/>
  </si>
  <si>
    <t>Weight</t>
    <phoneticPr fontId="2" type="noConversion"/>
  </si>
  <si>
    <t>Secondary</t>
    <phoneticPr fontId="2" type="noConversion"/>
  </si>
  <si>
    <t>Primary</t>
    <phoneticPr fontId="2" type="noConversion"/>
  </si>
  <si>
    <t>10代</t>
    <phoneticPr fontId="2" type="noConversion"/>
  </si>
  <si>
    <t>20代</t>
    <phoneticPr fontId="2" type="noConversion"/>
  </si>
  <si>
    <r>
      <t>30代</t>
    </r>
    <r>
      <rPr>
        <sz val="11"/>
        <color indexed="8"/>
        <rFont val="等线"/>
        <family val="4"/>
        <charset val="134"/>
      </rPr>
      <t/>
    </r>
  </si>
  <si>
    <r>
      <t>40代</t>
    </r>
    <r>
      <rPr>
        <sz val="11"/>
        <color indexed="8"/>
        <rFont val="等线"/>
        <family val="4"/>
        <charset val="134"/>
      </rPr>
      <t/>
    </r>
  </si>
  <si>
    <r>
      <t>50代</t>
    </r>
    <r>
      <rPr>
        <sz val="11"/>
        <color indexed="8"/>
        <rFont val="等线"/>
        <family val="4"/>
        <charset val="134"/>
      </rPr>
      <t/>
    </r>
  </si>
  <si>
    <r>
      <t>60代</t>
    </r>
    <r>
      <rPr>
        <sz val="11"/>
        <color indexed="8"/>
        <rFont val="等线"/>
        <family val="4"/>
        <charset val="134"/>
      </rPr>
      <t/>
    </r>
  </si>
  <si>
    <t>Proportion 10代</t>
    <phoneticPr fontId="2" type="noConversion"/>
  </si>
  <si>
    <t>Proportion 20代</t>
    <phoneticPr fontId="2" type="noConversion"/>
  </si>
  <si>
    <t>Proportion 30代</t>
  </si>
  <si>
    <t>Proportion 40代</t>
  </si>
  <si>
    <t>Proportion 50代</t>
  </si>
  <si>
    <t>Proportion 60代</t>
  </si>
  <si>
    <t>Normalized 10代</t>
    <phoneticPr fontId="2" type="noConversion"/>
  </si>
  <si>
    <t>Normalized 20代</t>
    <phoneticPr fontId="2" type="noConversion"/>
  </si>
  <si>
    <t>Normalized 30代</t>
  </si>
  <si>
    <t>Normalized 40代</t>
  </si>
  <si>
    <t>Normalized 50代</t>
  </si>
  <si>
    <t>Normalized 60代</t>
  </si>
  <si>
    <t>Apartment</t>
  </si>
  <si>
    <t>Accommodation</t>
  </si>
  <si>
    <t>Automobile</t>
  </si>
  <si>
    <t>Commercial Service</t>
  </si>
  <si>
    <t>Bank</t>
  </si>
  <si>
    <t>Finance</t>
  </si>
  <si>
    <t>Bar</t>
  </si>
  <si>
    <t>Recreation</t>
  </si>
  <si>
    <t>Beauty</t>
  </si>
  <si>
    <t>Life Service</t>
  </si>
  <si>
    <t>Beverage</t>
  </si>
  <si>
    <t>Dining</t>
  </si>
  <si>
    <t>Business</t>
  </si>
  <si>
    <t>Workplace</t>
  </si>
  <si>
    <t>Cafe</t>
  </si>
  <si>
    <t>Clinic</t>
  </si>
  <si>
    <t>Medical &amp; Nursing Service</t>
  </si>
  <si>
    <t>Club</t>
  </si>
  <si>
    <t>Construction</t>
  </si>
  <si>
    <t>Consulting</t>
  </si>
  <si>
    <t>Convenience Store</t>
  </si>
  <si>
    <t>Cramming</t>
  </si>
  <si>
    <t>Education</t>
  </si>
  <si>
    <t>Cultural Site</t>
  </si>
  <si>
    <t>Tourist Attraction</t>
  </si>
  <si>
    <t>Dental</t>
  </si>
  <si>
    <t>Family Restaurant</t>
  </si>
  <si>
    <t>Farm</t>
  </si>
  <si>
    <t>Fast Food</t>
  </si>
  <si>
    <t>Foreign Restaurant</t>
  </si>
  <si>
    <t>Gas Station</t>
  </si>
  <si>
    <t>Transportation</t>
  </si>
  <si>
    <t>General Store</t>
  </si>
  <si>
    <t>Shopping</t>
  </si>
  <si>
    <t>Home Goods</t>
  </si>
  <si>
    <t>Hospital</t>
  </si>
  <si>
    <t>Hotel</t>
  </si>
  <si>
    <t>Industry</t>
  </si>
  <si>
    <t>Insurance</t>
  </si>
  <si>
    <t>Japanese Restaurant</t>
  </si>
  <si>
    <t>K12</t>
  </si>
  <si>
    <t>KTV</t>
  </si>
  <si>
    <t>Language school</t>
  </si>
  <si>
    <t>Laundry</t>
  </si>
  <si>
    <t>Logistics</t>
  </si>
  <si>
    <t>Maintenance &amp; Repair</t>
  </si>
  <si>
    <t>Media</t>
  </si>
  <si>
    <t>Municipal Service</t>
  </si>
  <si>
    <t>Public Service</t>
  </si>
  <si>
    <t>Museum &amp; Gallery</t>
  </si>
  <si>
    <t>Nursing</t>
  </si>
  <si>
    <t>Organization</t>
  </si>
  <si>
    <t>Other Commercial Service</t>
  </si>
  <si>
    <t>Other Finance</t>
  </si>
  <si>
    <t>Other Life Service</t>
  </si>
  <si>
    <t>Other Pet Service</t>
  </si>
  <si>
    <t>Pet</t>
  </si>
  <si>
    <t>Other Public Service</t>
  </si>
  <si>
    <t>Other Recreation</t>
  </si>
  <si>
    <t>Other Restaurant</t>
  </si>
  <si>
    <t>Other School</t>
  </si>
  <si>
    <t>Other Store</t>
  </si>
  <si>
    <t>Other Tourist Attraction</t>
  </si>
  <si>
    <t>Park</t>
  </si>
  <si>
    <t>Parking</t>
  </si>
  <si>
    <t>Pet Groom</t>
  </si>
  <si>
    <t>Pet Health</t>
  </si>
  <si>
    <t>Pet Store</t>
  </si>
  <si>
    <t>Pharmacy</t>
  </si>
  <si>
    <t>Post Office</t>
  </si>
  <si>
    <t>Pre-K</t>
  </si>
  <si>
    <t>Professional</t>
  </si>
  <si>
    <t>Refresh &amp; Recovery</t>
  </si>
  <si>
    <t>Religious Affairs</t>
  </si>
  <si>
    <t>Shopping Mall</t>
  </si>
  <si>
    <t>Snack Bar</t>
  </si>
  <si>
    <t>Specialist Medical Care</t>
  </si>
  <si>
    <t>Specialty Store</t>
  </si>
  <si>
    <t>Sports</t>
  </si>
  <si>
    <t>Supermarket</t>
  </si>
  <si>
    <t>Takeout Restaurant</t>
  </si>
  <si>
    <t>Trading</t>
  </si>
  <si>
    <t>University</t>
  </si>
  <si>
    <t>Vocational School</t>
  </si>
  <si>
    <t>Bus Stop</t>
  </si>
  <si>
    <t>Train Station</t>
  </si>
  <si>
    <t>Visit Proportion</t>
    <phoneticPr fontId="2" type="noConversion"/>
  </si>
  <si>
    <t>Taxi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</si>
</sst>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%"/>
    <numFmt numFmtId="177" formatCode="0.00_ "/>
  </numFmts>
  <fonts count="7">
    <font>
      <sz val="11"/>
      <color theme="1"/>
      <name val="等线"/>
      <charset val="134"/>
      <scheme val="minor"/>
    </font>
    <font>
      <sz val="11"/>
      <color indexed="8"/>
      <name val="等线"/>
      <family val="4"/>
      <charset val="134"/>
    </font>
    <font>
      <sz val="9"/>
      <name val="等线"/>
      <family val="4"/>
      <charset val="134"/>
    </font>
    <font>
      <sz val="11"/>
      <color theme="1"/>
      <name val="Calibri"/>
      <family val="2"/>
    </font>
    <font>
      <sz val="11"/>
      <color theme="1"/>
      <name val="等线"/>
      <family val="4"/>
      <charset val="134"/>
    </font>
    <font>
      <b/>
      <sz val="11"/>
      <color theme="0"/>
      <name val="Calibri"/>
      <family val="2"/>
    </font>
    <font>
      <sz val="11"/>
      <color theme="1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646060"/>
        <bgColor indexed="64"/>
      </patternFill>
    </fill>
    <fill>
      <patternFill patternType="solid">
        <fgColor rgb="FF44424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3" fillId="2" borderId="0" xfId="0" applyFont="1" applyFill="1"/>
    <xf numFmtId="0" fontId="4" fillId="2" borderId="0" xfId="0" applyFont="1" applyFill="1" applyAlignment="1">
      <alignment horizontal="left"/>
    </xf>
    <xf numFmtId="176" fontId="4" fillId="2" borderId="0" xfId="0" applyNumberFormat="1" applyFont="1" applyFill="1" applyAlignment="1">
      <alignment horizontal="left"/>
    </xf>
    <xf numFmtId="0" fontId="3" fillId="0" borderId="0" xfId="0" applyFont="1" applyAlignment="1">
      <alignment horizontal="right"/>
    </xf>
    <xf numFmtId="176" fontId="3" fillId="0" borderId="0" xfId="0" applyNumberFormat="1" applyFont="1" applyAlignment="1">
      <alignment horizontal="right"/>
    </xf>
    <xf numFmtId="177" fontId="3" fillId="0" borderId="0" xfId="0" applyNumberFormat="1" applyFont="1" applyAlignment="1">
      <alignment horizontal="right"/>
    </xf>
    <xf numFmtId="176" fontId="6" fillId="2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176" fontId="5" fillId="5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</cellXfs>
  <cellStyles count="1">
    <cellStyle name="常规" xfId="0" builtinId="0"/>
  </cellStyles>
  <dxfs count="22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77" formatCode="0.00_ 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77" formatCode="0.00_ 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77" formatCode="0.00_ 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77" formatCode="0.00_ 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77" formatCode="0.00_ 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77" formatCode="0.00_ 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76" formatCode="0.00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76" formatCode="0.00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76" formatCode="0.00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76" formatCode="0.00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76" formatCode="0.00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76" formatCode="0.000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177" formatCode="0.00_ 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499984740745262"/>
        </patternFill>
      </fill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3" displayName="表3" ref="A2:T75" totalsRowShown="0" headerRowDxfId="21" dataDxfId="20">
  <sortState xmlns:xlrd2="http://schemas.microsoft.com/office/spreadsheetml/2017/richdata2" ref="A3:T75">
    <sortCondition ref="B3:B75"/>
  </sortState>
  <tableColumns count="20">
    <tableColumn id="1" xr3:uid="{00000000-0010-0000-0000-000001000000}" name="Primary" dataDxfId="19"/>
    <tableColumn id="2" xr3:uid="{00000000-0010-0000-0000-000002000000}" name="Secondary" dataDxfId="18"/>
    <tableColumn id="4" xr3:uid="{00000000-0010-0000-0000-000004000000}" name="10代" dataDxfId="17"/>
    <tableColumn id="5" xr3:uid="{00000000-0010-0000-0000-000005000000}" name="20代" dataDxfId="16"/>
    <tableColumn id="6" xr3:uid="{00000000-0010-0000-0000-000006000000}" name="30代" dataDxfId="15"/>
    <tableColumn id="7" xr3:uid="{00000000-0010-0000-0000-000007000000}" name="40代" dataDxfId="14"/>
    <tableColumn id="8" xr3:uid="{00000000-0010-0000-0000-000008000000}" name="50代" dataDxfId="13"/>
    <tableColumn id="9" xr3:uid="{00000000-0010-0000-0000-000009000000}" name="60代" dataDxfId="12"/>
    <tableColumn id="10" xr3:uid="{00000000-0010-0000-0000-00000A000000}" name="Proportion 10代" dataDxfId="11">
      <calculatedColumnFormula>C3/SUM(C$3:C$73)</calculatedColumnFormula>
    </tableColumn>
    <tableColumn id="11" xr3:uid="{00000000-0010-0000-0000-00000B000000}" name="Proportion 20代" dataDxfId="10">
      <calculatedColumnFormula>D3/SUM(D$3:D$73)</calculatedColumnFormula>
    </tableColumn>
    <tableColumn id="12" xr3:uid="{00000000-0010-0000-0000-00000C000000}" name="Proportion 30代" dataDxfId="9">
      <calculatedColumnFormula>E3/SUM(E$3:E$73)</calculatedColumnFormula>
    </tableColumn>
    <tableColumn id="13" xr3:uid="{00000000-0010-0000-0000-00000D000000}" name="Proportion 40代" dataDxfId="8">
      <calculatedColumnFormula>F3/SUM(F$3:F$73)</calculatedColumnFormula>
    </tableColumn>
    <tableColumn id="14" xr3:uid="{00000000-0010-0000-0000-00000E000000}" name="Proportion 50代" dataDxfId="7">
      <calculatedColumnFormula>G3/SUM(G$3:G$73)</calculatedColumnFormula>
    </tableColumn>
    <tableColumn id="15" xr3:uid="{00000000-0010-0000-0000-00000F000000}" name="Proportion 60代" dataDxfId="6">
      <calculatedColumnFormula>H3/SUM(H$3:H$73)</calculatedColumnFormula>
    </tableColumn>
    <tableColumn id="19" xr3:uid="{00000000-0010-0000-0000-000013000000}" name="Normalized 10代" dataDxfId="5">
      <calculatedColumnFormula>(I3-MIN($I3:$N3))/((MAX($I3:$N3)-MIN($I3:$N3)))</calculatedColumnFormula>
    </tableColumn>
    <tableColumn id="20" xr3:uid="{00000000-0010-0000-0000-000014000000}" name="Normalized 20代" dataDxfId="4">
      <calculatedColumnFormula>(J3-MIN($I3:$N3))/((MAX($I3:$N3)-MIN($I3:$N3)))</calculatedColumnFormula>
    </tableColumn>
    <tableColumn id="21" xr3:uid="{00000000-0010-0000-0000-000015000000}" name="Normalized 30代" dataDxfId="3">
      <calculatedColumnFormula>(K3-MIN($I3:$N3))/((MAX($I3:$N3)-MIN($I3:$N3)))</calculatedColumnFormula>
    </tableColumn>
    <tableColumn id="22" xr3:uid="{00000000-0010-0000-0000-000016000000}" name="Normalized 40代" dataDxfId="2">
      <calculatedColumnFormula>(L3-MIN($I3:$N3))/((MAX($I3:$N3)-MIN($I3:$N3)))</calculatedColumnFormula>
    </tableColumn>
    <tableColumn id="23" xr3:uid="{00000000-0010-0000-0000-000017000000}" name="Normalized 50代" dataDxfId="1">
      <calculatedColumnFormula>(M3-MIN($I3:$N3))/((MAX($I3:$N3)-MIN($I3:$N3)))</calculatedColumnFormula>
    </tableColumn>
    <tableColumn id="24" xr3:uid="{00000000-0010-0000-0000-000018000000}" name="Normalized 60代" dataDxfId="0">
      <calculatedColumnFormula>(N3-MIN($I3:$N3))/((MAX($I3:$N3)-MIN($I3:$N3)))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5"/>
  <sheetViews>
    <sheetView tabSelected="1" workbookViewId="0">
      <selection activeCell="I17" sqref="I17"/>
    </sheetView>
  </sheetViews>
  <sheetFormatPr baseColWidth="10" defaultColWidth="18.83203125" defaultRowHeight="15"/>
  <cols>
    <col min="1" max="1" width="18.83203125" style="1"/>
    <col min="2" max="2" width="26" style="1" bestFit="1" customWidth="1"/>
    <col min="3" max="8" width="18.83203125" style="5" customWidth="1"/>
    <col min="9" max="9" width="23.83203125" style="6" customWidth="1"/>
    <col min="10" max="14" width="21.5" style="6" customWidth="1"/>
    <col min="15" max="20" width="18.83203125" style="5"/>
    <col min="21" max="16384" width="18.83203125" style="1"/>
  </cols>
  <sheetData>
    <row r="1" spans="1:20">
      <c r="A1" s="11" t="s">
        <v>0</v>
      </c>
      <c r="B1" s="11"/>
      <c r="C1" s="12" t="s">
        <v>1</v>
      </c>
      <c r="D1" s="12"/>
      <c r="E1" s="12"/>
      <c r="F1" s="12"/>
      <c r="G1" s="12"/>
      <c r="H1" s="12"/>
      <c r="I1" s="13" t="s">
        <v>109</v>
      </c>
      <c r="J1" s="13"/>
      <c r="K1" s="13"/>
      <c r="L1" s="13"/>
      <c r="M1" s="13"/>
      <c r="N1" s="13"/>
      <c r="O1" s="14" t="s">
        <v>2</v>
      </c>
      <c r="P1" s="14"/>
      <c r="Q1" s="14"/>
      <c r="R1" s="14"/>
      <c r="S1" s="14"/>
      <c r="T1" s="14"/>
    </row>
    <row r="2" spans="1:20">
      <c r="A2" s="10" t="s">
        <v>4</v>
      </c>
      <c r="B2" s="2" t="s">
        <v>3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8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9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</row>
    <row r="3" spans="1:20">
      <c r="A3" s="7" t="s">
        <v>24</v>
      </c>
      <c r="B3" s="1" t="s">
        <v>23</v>
      </c>
      <c r="C3" s="5">
        <v>16954</v>
      </c>
      <c r="D3" s="5">
        <v>62198</v>
      </c>
      <c r="E3" s="5">
        <v>54538</v>
      </c>
      <c r="F3" s="5">
        <v>55200</v>
      </c>
      <c r="G3" s="5">
        <v>54202</v>
      </c>
      <c r="H3" s="5">
        <v>22751</v>
      </c>
      <c r="I3" s="6">
        <f t="shared" ref="I3:I34" si="0">C3/SUM(C$3:C$73)</f>
        <v>1.0941862401272184E-2</v>
      </c>
      <c r="J3" s="6">
        <f t="shared" ref="J3:J34" si="1">D3/SUM(D$3:D$73)</f>
        <v>1.018381226078733E-2</v>
      </c>
      <c r="K3" s="6">
        <f t="shared" ref="K3:K34" si="2">E3/SUM(E$3:E$73)</f>
        <v>9.361811403564485E-3</v>
      </c>
      <c r="L3" s="6">
        <f t="shared" ref="L3:L34" si="3">F3/SUM(F$3:F$73)</f>
        <v>9.0775543818687032E-3</v>
      </c>
      <c r="M3" s="6">
        <f t="shared" ref="M3:M34" si="4">G3/SUM(G$3:G$73)</f>
        <v>9.0887094056119541E-3</v>
      </c>
      <c r="N3" s="6">
        <f t="shared" ref="N3:N34" si="5">H3/SUM(H$3:H$73)</f>
        <v>9.2401442455114172E-3</v>
      </c>
      <c r="O3" s="7">
        <f t="shared" ref="O3:O34" si="6">(I3-MIN($I3:$N3))/((MAX($I3:$N3)-MIN($I3:$N3)))</f>
        <v>1</v>
      </c>
      <c r="P3" s="7">
        <f t="shared" ref="P3:P34" si="7">(J3-MIN($I3:$N3))/((MAX($I3:$N3)-MIN($I3:$N3)))</f>
        <v>0.59338793128862566</v>
      </c>
      <c r="Q3" s="7">
        <f t="shared" ref="Q3:Q34" si="8">(K3-MIN($I3:$N3))/((MAX($I3:$N3)-MIN($I3:$N3)))</f>
        <v>0.15247320653951543</v>
      </c>
      <c r="R3" s="7">
        <f t="shared" ref="R3:R34" si="9">(L3-MIN($I3:$N3))/((MAX($I3:$N3)-MIN($I3:$N3)))</f>
        <v>0</v>
      </c>
      <c r="S3" s="7">
        <f t="shared" ref="S3:S34" si="10">(M3-MIN($I3:$N3))/((MAX($I3:$N3)-MIN($I3:$N3)))</f>
        <v>5.9834660512913598E-3</v>
      </c>
      <c r="T3" s="7">
        <f t="shared" ref="T3:T34" si="11">(N3-MIN($I3:$N3))/((MAX($I3:$N3)-MIN($I3:$N3)))</f>
        <v>8.7211910237202997E-2</v>
      </c>
    </row>
    <row r="4" spans="1:20">
      <c r="A4" s="7" t="s">
        <v>24</v>
      </c>
      <c r="B4" s="1" t="s">
        <v>59</v>
      </c>
      <c r="C4" s="5">
        <v>13788</v>
      </c>
      <c r="D4" s="5">
        <v>59334</v>
      </c>
      <c r="E4" s="5">
        <v>51353</v>
      </c>
      <c r="F4" s="5">
        <v>52460</v>
      </c>
      <c r="G4" s="5">
        <v>50531</v>
      </c>
      <c r="H4" s="5">
        <v>19519</v>
      </c>
      <c r="I4" s="6">
        <f t="shared" si="0"/>
        <v>8.8985725367901891E-3</v>
      </c>
      <c r="J4" s="6">
        <f t="shared" si="1"/>
        <v>9.714883383413541E-3</v>
      </c>
      <c r="K4" s="6">
        <f t="shared" si="2"/>
        <v>8.8150849134043599E-3</v>
      </c>
      <c r="L4" s="6">
        <f t="shared" si="3"/>
        <v>8.6269656317542066E-3</v>
      </c>
      <c r="M4" s="6">
        <f t="shared" si="4"/>
        <v>8.4731481306036232E-3</v>
      </c>
      <c r="N4" s="6">
        <f t="shared" si="5"/>
        <v>7.9274922213589446E-3</v>
      </c>
      <c r="O4" s="7">
        <f t="shared" si="6"/>
        <v>0.54329479525622859</v>
      </c>
      <c r="P4" s="7">
        <f t="shared" si="7"/>
        <v>1</v>
      </c>
      <c r="Q4" s="7">
        <f t="shared" si="8"/>
        <v>0.4965855884758501</v>
      </c>
      <c r="R4" s="7">
        <f t="shared" si="9"/>
        <v>0.39133762393186566</v>
      </c>
      <c r="S4" s="7">
        <f t="shared" si="10"/>
        <v>0.30528063516743031</v>
      </c>
      <c r="T4" s="7">
        <f t="shared" si="11"/>
        <v>0</v>
      </c>
    </row>
    <row r="5" spans="1:20">
      <c r="A5" s="7" t="s">
        <v>26</v>
      </c>
      <c r="B5" s="1" t="s">
        <v>25</v>
      </c>
      <c r="C5" s="5">
        <v>22413</v>
      </c>
      <c r="D5" s="5">
        <v>89201</v>
      </c>
      <c r="E5" s="5">
        <v>81728</v>
      </c>
      <c r="F5" s="5">
        <v>83435</v>
      </c>
      <c r="G5" s="5">
        <v>82065</v>
      </c>
      <c r="H5" s="5">
        <v>32631</v>
      </c>
      <c r="I5" s="6">
        <f t="shared" si="0"/>
        <v>1.4465020762045148E-2</v>
      </c>
      <c r="J5" s="6">
        <f t="shared" si="1"/>
        <v>1.4605071505104513E-2</v>
      </c>
      <c r="K5" s="6">
        <f t="shared" si="2"/>
        <v>1.402915622851073E-2</v>
      </c>
      <c r="L5" s="6">
        <f t="shared" si="3"/>
        <v>1.3720756337884334E-2</v>
      </c>
      <c r="M5" s="6">
        <f t="shared" si="4"/>
        <v>1.3760837927964743E-2</v>
      </c>
      <c r="N5" s="6">
        <f t="shared" si="5"/>
        <v>1.3252830507462662E-2</v>
      </c>
      <c r="O5" s="7">
        <f t="shared" si="6"/>
        <v>0.89643063381187449</v>
      </c>
      <c r="P5" s="7">
        <f t="shared" si="7"/>
        <v>1</v>
      </c>
      <c r="Q5" s="7">
        <f t="shared" si="8"/>
        <v>0.57410307955600293</v>
      </c>
      <c r="R5" s="7">
        <f t="shared" si="9"/>
        <v>0.34603730491656398</v>
      </c>
      <c r="S5" s="7">
        <f t="shared" si="10"/>
        <v>0.37567816786207925</v>
      </c>
      <c r="T5" s="7">
        <f t="shared" si="11"/>
        <v>0</v>
      </c>
    </row>
    <row r="6" spans="1:20">
      <c r="A6" s="7" t="s">
        <v>26</v>
      </c>
      <c r="B6" s="1" t="s">
        <v>41</v>
      </c>
      <c r="C6" s="5">
        <v>40218</v>
      </c>
      <c r="D6" s="5">
        <v>176343</v>
      </c>
      <c r="E6" s="5">
        <v>190660</v>
      </c>
      <c r="F6" s="5">
        <v>206319</v>
      </c>
      <c r="G6" s="5">
        <v>203913</v>
      </c>
      <c r="H6" s="5">
        <v>83965</v>
      </c>
      <c r="I6" s="6">
        <f t="shared" si="0"/>
        <v>2.5956106054875822E-2</v>
      </c>
      <c r="J6" s="6">
        <f t="shared" si="1"/>
        <v>2.8873018513521656E-2</v>
      </c>
      <c r="K6" s="6">
        <f t="shared" si="2"/>
        <v>3.2728060475331049E-2</v>
      </c>
      <c r="L6" s="6">
        <f t="shared" si="3"/>
        <v>3.3928839538274802E-2</v>
      </c>
      <c r="M6" s="6">
        <f t="shared" si="4"/>
        <v>3.41925759386471E-2</v>
      </c>
      <c r="N6" s="6">
        <f t="shared" si="5"/>
        <v>3.4101741091572504E-2</v>
      </c>
      <c r="O6" s="7">
        <f t="shared" si="6"/>
        <v>0</v>
      </c>
      <c r="P6" s="7">
        <f t="shared" si="7"/>
        <v>0.35414595085124634</v>
      </c>
      <c r="Q6" s="7">
        <f t="shared" si="8"/>
        <v>0.82219136547786587</v>
      </c>
      <c r="R6" s="7">
        <f t="shared" si="9"/>
        <v>0.96797943729607372</v>
      </c>
      <c r="S6" s="7">
        <f t="shared" si="10"/>
        <v>1</v>
      </c>
      <c r="T6" s="7">
        <f t="shared" si="11"/>
        <v>0.98897162882200629</v>
      </c>
    </row>
    <row r="7" spans="1:20">
      <c r="A7" s="7" t="s">
        <v>26</v>
      </c>
      <c r="B7" s="1" t="s">
        <v>42</v>
      </c>
      <c r="C7" s="5">
        <v>3192</v>
      </c>
      <c r="D7" s="5">
        <v>15624</v>
      </c>
      <c r="E7" s="5">
        <v>15588</v>
      </c>
      <c r="F7" s="5">
        <v>15917</v>
      </c>
      <c r="G7" s="5">
        <v>15833</v>
      </c>
      <c r="H7" s="5">
        <v>6279</v>
      </c>
      <c r="I7" s="6">
        <f t="shared" si="0"/>
        <v>2.060069882320444E-3</v>
      </c>
      <c r="J7" s="6">
        <f t="shared" si="1"/>
        <v>2.558151110365948E-3</v>
      </c>
      <c r="K7" s="6">
        <f t="shared" si="2"/>
        <v>2.6757841534116246E-3</v>
      </c>
      <c r="L7" s="6">
        <f t="shared" si="3"/>
        <v>2.6175259618877564E-3</v>
      </c>
      <c r="M7" s="6">
        <f t="shared" si="4"/>
        <v>2.6549119224208344E-3</v>
      </c>
      <c r="N7" s="6">
        <f t="shared" si="5"/>
        <v>2.5501677164769102E-3</v>
      </c>
      <c r="O7" s="7">
        <f t="shared" si="6"/>
        <v>0</v>
      </c>
      <c r="P7" s="7">
        <f t="shared" si="7"/>
        <v>0.80894864944870437</v>
      </c>
      <c r="Q7" s="7">
        <f t="shared" si="8"/>
        <v>1</v>
      </c>
      <c r="R7" s="7">
        <f t="shared" si="9"/>
        <v>0.90538112520825298</v>
      </c>
      <c r="S7" s="7">
        <f t="shared" si="10"/>
        <v>0.96610078412865108</v>
      </c>
      <c r="T7" s="7">
        <f t="shared" si="11"/>
        <v>0.79598258017944834</v>
      </c>
    </row>
    <row r="8" spans="1:20">
      <c r="A8" s="7" t="s">
        <v>26</v>
      </c>
      <c r="B8" s="1" t="s">
        <v>67</v>
      </c>
      <c r="C8" s="5">
        <v>27135</v>
      </c>
      <c r="D8" s="5">
        <v>110601</v>
      </c>
      <c r="E8" s="5">
        <v>113043</v>
      </c>
      <c r="F8" s="5">
        <v>122535</v>
      </c>
      <c r="G8" s="5">
        <v>123908</v>
      </c>
      <c r="H8" s="5">
        <v>49178</v>
      </c>
      <c r="I8" s="6">
        <f t="shared" si="0"/>
        <v>1.751253015562821E-2</v>
      </c>
      <c r="J8" s="6">
        <f t="shared" si="1"/>
        <v>1.8108939513414246E-2</v>
      </c>
      <c r="K8" s="6">
        <f t="shared" si="2"/>
        <v>1.9404584812298582E-2</v>
      </c>
      <c r="L8" s="6">
        <f t="shared" si="3"/>
        <v>2.0150690691707999E-2</v>
      </c>
      <c r="M8" s="6">
        <f t="shared" si="4"/>
        <v>2.0777163297121249E-2</v>
      </c>
      <c r="N8" s="6">
        <f t="shared" si="5"/>
        <v>1.997326771156259E-2</v>
      </c>
      <c r="O8" s="7">
        <f t="shared" si="6"/>
        <v>0</v>
      </c>
      <c r="P8" s="7">
        <f t="shared" si="7"/>
        <v>0.18268801789878164</v>
      </c>
      <c r="Q8" s="7">
        <f t="shared" si="8"/>
        <v>0.57956118640793564</v>
      </c>
      <c r="R8" s="7">
        <f t="shared" si="9"/>
        <v>0.80810321458455181</v>
      </c>
      <c r="S8" s="7">
        <f t="shared" si="10"/>
        <v>1</v>
      </c>
      <c r="T8" s="7">
        <f t="shared" si="11"/>
        <v>0.75375622597796454</v>
      </c>
    </row>
    <row r="9" spans="1:20">
      <c r="A9" s="7" t="s">
        <v>26</v>
      </c>
      <c r="B9" s="1" t="s">
        <v>69</v>
      </c>
      <c r="C9" s="5">
        <v>29641</v>
      </c>
      <c r="D9" s="5">
        <v>132091</v>
      </c>
      <c r="E9" s="5">
        <v>127839</v>
      </c>
      <c r="F9" s="5">
        <v>134720</v>
      </c>
      <c r="G9" s="5">
        <v>132145</v>
      </c>
      <c r="H9" s="5">
        <v>52785</v>
      </c>
      <c r="I9" s="6">
        <f t="shared" si="0"/>
        <v>1.9129865721134173E-2</v>
      </c>
      <c r="J9" s="6">
        <f t="shared" si="1"/>
        <v>2.1627543415216874E-2</v>
      </c>
      <c r="K9" s="6">
        <f t="shared" si="2"/>
        <v>2.1944416884012618E-2</v>
      </c>
      <c r="L9" s="6">
        <f t="shared" si="3"/>
        <v>2.2154495042125938E-2</v>
      </c>
      <c r="M9" s="6">
        <f t="shared" si="4"/>
        <v>2.2158361396343154E-2</v>
      </c>
      <c r="N9" s="6">
        <f t="shared" si="5"/>
        <v>2.1438223111042157E-2</v>
      </c>
      <c r="O9" s="7">
        <f t="shared" si="6"/>
        <v>0</v>
      </c>
      <c r="P9" s="7">
        <f t="shared" si="7"/>
        <v>0.82472552776894714</v>
      </c>
      <c r="Q9" s="7">
        <f t="shared" si="8"/>
        <v>0.92935617703473428</v>
      </c>
      <c r="R9" s="7">
        <f t="shared" si="9"/>
        <v>0.99872334167459242</v>
      </c>
      <c r="S9" s="7">
        <f t="shared" si="10"/>
        <v>1</v>
      </c>
      <c r="T9" s="7">
        <f t="shared" si="11"/>
        <v>0.7622125429479758</v>
      </c>
    </row>
    <row r="10" spans="1:20">
      <c r="A10" s="7" t="s">
        <v>26</v>
      </c>
      <c r="B10" s="1" t="s">
        <v>75</v>
      </c>
      <c r="C10" s="5">
        <v>3723</v>
      </c>
      <c r="D10" s="5">
        <v>15083</v>
      </c>
      <c r="E10" s="5">
        <v>13115</v>
      </c>
      <c r="F10" s="5">
        <v>12778</v>
      </c>
      <c r="G10" s="5">
        <v>12355</v>
      </c>
      <c r="H10" s="5">
        <v>4725</v>
      </c>
      <c r="I10" s="6">
        <f t="shared" si="0"/>
        <v>2.402769477405706E-3</v>
      </c>
      <c r="J10" s="6">
        <f t="shared" si="1"/>
        <v>2.4695720172586786E-3</v>
      </c>
      <c r="K10" s="6">
        <f t="shared" si="2"/>
        <v>2.2512772114442812E-3</v>
      </c>
      <c r="L10" s="6">
        <f t="shared" si="3"/>
        <v>2.1013222806434474E-3</v>
      </c>
      <c r="M10" s="6">
        <f t="shared" si="4"/>
        <v>2.0717133077439152E-3</v>
      </c>
      <c r="N10" s="6">
        <f t="shared" si="5"/>
        <v>1.9190225291214208E-3</v>
      </c>
      <c r="O10" s="7">
        <f t="shared" si="6"/>
        <v>0.87866206164500515</v>
      </c>
      <c r="P10" s="7">
        <f t="shared" si="7"/>
        <v>1</v>
      </c>
      <c r="Q10" s="7">
        <f t="shared" si="8"/>
        <v>0.60349648756739172</v>
      </c>
      <c r="R10" s="7">
        <f t="shared" si="9"/>
        <v>0.3311232785608863</v>
      </c>
      <c r="S10" s="7">
        <f t="shared" si="10"/>
        <v>0.27734251309380381</v>
      </c>
      <c r="T10" s="7">
        <f t="shared" si="11"/>
        <v>0</v>
      </c>
    </row>
    <row r="11" spans="1:20">
      <c r="A11" s="7" t="s">
        <v>26</v>
      </c>
      <c r="B11" s="1" t="s">
        <v>104</v>
      </c>
      <c r="C11" s="5">
        <v>26693</v>
      </c>
      <c r="D11" s="5">
        <v>115121</v>
      </c>
      <c r="E11" s="5">
        <v>113553</v>
      </c>
      <c r="F11" s="5">
        <v>121348</v>
      </c>
      <c r="G11" s="5">
        <v>121246</v>
      </c>
      <c r="H11" s="5">
        <v>47978</v>
      </c>
      <c r="I11" s="6">
        <f t="shared" si="0"/>
        <v>1.7227269852374567E-2</v>
      </c>
      <c r="J11" s="6">
        <f t="shared" si="1"/>
        <v>1.8849008831057237E-2</v>
      </c>
      <c r="K11" s="6">
        <f t="shared" si="2"/>
        <v>1.9492129713391728E-2</v>
      </c>
      <c r="L11" s="6">
        <f t="shared" si="3"/>
        <v>1.9955490382808035E-2</v>
      </c>
      <c r="M11" s="6">
        <f t="shared" si="4"/>
        <v>2.0330793339596823E-2</v>
      </c>
      <c r="N11" s="6">
        <f t="shared" si="5"/>
        <v>1.9485896910515877E-2</v>
      </c>
      <c r="O11" s="7">
        <f t="shared" si="6"/>
        <v>0</v>
      </c>
      <c r="P11" s="7">
        <f t="shared" si="7"/>
        <v>0.52254767375199551</v>
      </c>
      <c r="Q11" s="7">
        <f t="shared" si="8"/>
        <v>0.72977049161766683</v>
      </c>
      <c r="R11" s="7">
        <f t="shared" si="9"/>
        <v>0.87907197791994318</v>
      </c>
      <c r="S11" s="7">
        <f t="shared" si="10"/>
        <v>1</v>
      </c>
      <c r="T11" s="7">
        <f t="shared" si="11"/>
        <v>0.72776219269500275</v>
      </c>
    </row>
    <row r="12" spans="1:20">
      <c r="A12" s="7" t="s">
        <v>34</v>
      </c>
      <c r="B12" s="1" t="s">
        <v>33</v>
      </c>
      <c r="C12" s="5">
        <v>499</v>
      </c>
      <c r="D12" s="5">
        <v>2809</v>
      </c>
      <c r="E12" s="5">
        <v>3504</v>
      </c>
      <c r="F12" s="5">
        <v>3799</v>
      </c>
      <c r="G12" s="5">
        <v>4190</v>
      </c>
      <c r="H12" s="5">
        <v>1730</v>
      </c>
      <c r="I12" s="6">
        <f t="shared" si="0"/>
        <v>3.220472654379391E-4</v>
      </c>
      <c r="J12" s="6">
        <f t="shared" si="1"/>
        <v>4.5992360912813286E-4</v>
      </c>
      <c r="K12" s="6">
        <f t="shared" si="2"/>
        <v>6.0148496751054228E-4</v>
      </c>
      <c r="L12" s="6">
        <f t="shared" si="3"/>
        <v>6.2473965754926094E-4</v>
      </c>
      <c r="M12" s="6">
        <f t="shared" si="4"/>
        <v>7.0258832532958356E-4</v>
      </c>
      <c r="N12" s="6">
        <f t="shared" si="5"/>
        <v>7.0262623817567366E-4</v>
      </c>
      <c r="O12" s="7">
        <f t="shared" si="6"/>
        <v>0</v>
      </c>
      <c r="P12" s="7">
        <f t="shared" si="7"/>
        <v>0.36228050829599412</v>
      </c>
      <c r="Q12" s="7">
        <f t="shared" si="8"/>
        <v>0.73424367106369248</v>
      </c>
      <c r="R12" s="7">
        <f t="shared" si="9"/>
        <v>0.79534712581168776</v>
      </c>
      <c r="S12" s="7">
        <f t="shared" si="10"/>
        <v>0.99990038113294233</v>
      </c>
      <c r="T12" s="7">
        <f t="shared" si="11"/>
        <v>1</v>
      </c>
    </row>
    <row r="13" spans="1:20">
      <c r="A13" s="7" t="s">
        <v>34</v>
      </c>
      <c r="B13" s="1" t="s">
        <v>37</v>
      </c>
      <c r="C13" s="5">
        <v>48867</v>
      </c>
      <c r="D13" s="5">
        <v>185090</v>
      </c>
      <c r="E13" s="5">
        <v>162263</v>
      </c>
      <c r="F13" s="5">
        <v>163518</v>
      </c>
      <c r="G13" s="5">
        <v>158842</v>
      </c>
      <c r="H13" s="5">
        <v>64712</v>
      </c>
      <c r="I13" s="6">
        <f t="shared" si="0"/>
        <v>3.153804352736627E-2</v>
      </c>
      <c r="J13" s="6">
        <f t="shared" si="1"/>
        <v>3.030518362888078E-2</v>
      </c>
      <c r="K13" s="6">
        <f t="shared" si="2"/>
        <v>2.785352605113103E-2</v>
      </c>
      <c r="L13" s="6">
        <f t="shared" si="3"/>
        <v>2.6890281474898671E-2</v>
      </c>
      <c r="M13" s="6">
        <f t="shared" si="4"/>
        <v>2.6634972499284416E-2</v>
      </c>
      <c r="N13" s="6">
        <f t="shared" si="5"/>
        <v>2.6282282731112248E-2</v>
      </c>
      <c r="O13" s="7">
        <f t="shared" si="6"/>
        <v>1</v>
      </c>
      <c r="P13" s="7">
        <f t="shared" si="7"/>
        <v>0.7654269388811995</v>
      </c>
      <c r="Q13" s="7">
        <f t="shared" si="8"/>
        <v>0.29895639868897117</v>
      </c>
      <c r="R13" s="7">
        <f t="shared" si="9"/>
        <v>0.11568234692487656</v>
      </c>
      <c r="S13" s="7">
        <f t="shared" si="10"/>
        <v>6.7105369107274285E-2</v>
      </c>
      <c r="T13" s="7">
        <f t="shared" si="11"/>
        <v>0</v>
      </c>
    </row>
    <row r="14" spans="1:20">
      <c r="A14" s="7" t="s">
        <v>34</v>
      </c>
      <c r="B14" s="1" t="s">
        <v>49</v>
      </c>
      <c r="C14" s="5">
        <v>12880</v>
      </c>
      <c r="D14" s="5">
        <v>45255</v>
      </c>
      <c r="E14" s="5">
        <v>40034</v>
      </c>
      <c r="F14" s="5">
        <v>40486</v>
      </c>
      <c r="G14" s="5">
        <v>39555</v>
      </c>
      <c r="H14" s="5">
        <v>16804</v>
      </c>
      <c r="I14" s="6">
        <f t="shared" si="0"/>
        <v>8.3125626830474059E-3</v>
      </c>
      <c r="J14" s="6">
        <f t="shared" si="1"/>
        <v>7.4096984446755613E-3</v>
      </c>
      <c r="K14" s="6">
        <f t="shared" si="2"/>
        <v>6.8721030791429934E-3</v>
      </c>
      <c r="L14" s="6">
        <f t="shared" si="3"/>
        <v>6.6578599040640635E-3</v>
      </c>
      <c r="M14" s="6">
        <f t="shared" si="4"/>
        <v>6.6326685461603049E-3</v>
      </c>
      <c r="N14" s="6">
        <f t="shared" si="5"/>
        <v>6.8248157839907626E-3</v>
      </c>
      <c r="O14" s="7">
        <f t="shared" si="6"/>
        <v>1</v>
      </c>
      <c r="P14" s="7">
        <f t="shared" si="7"/>
        <v>0.46254694355628762</v>
      </c>
      <c r="Q14" s="7">
        <f t="shared" si="8"/>
        <v>0.142529536668524</v>
      </c>
      <c r="R14" s="7">
        <f t="shared" si="9"/>
        <v>1.4995800836854551E-2</v>
      </c>
      <c r="S14" s="7">
        <f t="shared" si="10"/>
        <v>0</v>
      </c>
      <c r="T14" s="7">
        <f t="shared" si="11"/>
        <v>0.11438056340056814</v>
      </c>
    </row>
    <row r="15" spans="1:20">
      <c r="A15" s="7" t="s">
        <v>34</v>
      </c>
      <c r="B15" s="1" t="s">
        <v>51</v>
      </c>
      <c r="C15" s="5">
        <v>27492</v>
      </c>
      <c r="D15" s="5">
        <v>94637</v>
      </c>
      <c r="E15" s="5">
        <v>83383</v>
      </c>
      <c r="F15" s="5">
        <v>83598</v>
      </c>
      <c r="G15" s="5">
        <v>80564</v>
      </c>
      <c r="H15" s="5">
        <v>33453</v>
      </c>
      <c r="I15" s="6">
        <f t="shared" si="0"/>
        <v>1.7742932708256155E-2</v>
      </c>
      <c r="J15" s="6">
        <f t="shared" si="1"/>
        <v>1.5495119472075155E-2</v>
      </c>
      <c r="K15" s="6">
        <f t="shared" si="2"/>
        <v>1.4313248015391423E-2</v>
      </c>
      <c r="L15" s="6">
        <f t="shared" si="3"/>
        <v>1.3747561435062679E-2</v>
      </c>
      <c r="M15" s="6">
        <f t="shared" si="4"/>
        <v>1.3509146978962426E-2</v>
      </c>
      <c r="N15" s="6">
        <f t="shared" si="5"/>
        <v>1.3586679506179658E-2</v>
      </c>
      <c r="O15" s="7">
        <f t="shared" si="6"/>
        <v>1</v>
      </c>
      <c r="P15" s="7">
        <f t="shared" si="7"/>
        <v>0.46907723255140371</v>
      </c>
      <c r="Q15" s="7">
        <f t="shared" si="8"/>
        <v>0.18992483036290439</v>
      </c>
      <c r="R15" s="7">
        <f t="shared" si="9"/>
        <v>5.6312357626096536E-2</v>
      </c>
      <c r="S15" s="7">
        <f t="shared" si="10"/>
        <v>0</v>
      </c>
      <c r="T15" s="7">
        <f t="shared" si="11"/>
        <v>1.8312813206577992E-2</v>
      </c>
    </row>
    <row r="16" spans="1:20">
      <c r="A16" s="7" t="s">
        <v>34</v>
      </c>
      <c r="B16" s="1" t="s">
        <v>52</v>
      </c>
      <c r="C16" s="5">
        <v>49876</v>
      </c>
      <c r="D16" s="5">
        <v>195268</v>
      </c>
      <c r="E16" s="5">
        <v>177075</v>
      </c>
      <c r="F16" s="5">
        <v>181594</v>
      </c>
      <c r="G16" s="5">
        <v>176891</v>
      </c>
      <c r="H16" s="5">
        <v>71420</v>
      </c>
      <c r="I16" s="6">
        <f t="shared" si="0"/>
        <v>3.2189237296558419E-2</v>
      </c>
      <c r="J16" s="6">
        <f t="shared" si="1"/>
        <v>3.1971649450776879E-2</v>
      </c>
      <c r="K16" s="6">
        <f t="shared" si="2"/>
        <v>3.0396104629546027E-2</v>
      </c>
      <c r="L16" s="6">
        <f t="shared" si="3"/>
        <v>2.9862851638062779E-2</v>
      </c>
      <c r="M16" s="6">
        <f t="shared" si="4"/>
        <v>2.9661468127893879E-2</v>
      </c>
      <c r="N16" s="6">
        <f t="shared" si="5"/>
        <v>2.9006685508963358E-2</v>
      </c>
      <c r="O16" s="7">
        <f t="shared" si="6"/>
        <v>1</v>
      </c>
      <c r="P16" s="7">
        <f t="shared" si="7"/>
        <v>0.93163101174672058</v>
      </c>
      <c r="Q16" s="7">
        <f t="shared" si="8"/>
        <v>0.43657392347811624</v>
      </c>
      <c r="R16" s="7">
        <f t="shared" si="9"/>
        <v>0.26901875797797914</v>
      </c>
      <c r="S16" s="7">
        <f t="shared" si="10"/>
        <v>0.20574138698472413</v>
      </c>
      <c r="T16" s="7">
        <f t="shared" si="11"/>
        <v>0</v>
      </c>
    </row>
    <row r="17" spans="1:20">
      <c r="A17" s="7" t="s">
        <v>34</v>
      </c>
      <c r="B17" s="1" t="s">
        <v>62</v>
      </c>
      <c r="C17" s="5">
        <v>56700</v>
      </c>
      <c r="D17" s="5">
        <v>225630</v>
      </c>
      <c r="E17" s="5">
        <v>214019</v>
      </c>
      <c r="F17" s="5">
        <v>224633</v>
      </c>
      <c r="G17" s="5">
        <v>220017</v>
      </c>
      <c r="H17" s="5">
        <v>89772</v>
      </c>
      <c r="I17" s="6">
        <f t="shared" si="0"/>
        <v>3.6593346593849996E-2</v>
      </c>
      <c r="J17" s="6">
        <f t="shared" si="1"/>
        <v>3.6942884986678755E-2</v>
      </c>
      <c r="K17" s="6">
        <f t="shared" si="2"/>
        <v>3.6737788602065856E-2</v>
      </c>
      <c r="L17" s="6">
        <f t="shared" si="3"/>
        <v>3.6940548432288271E-2</v>
      </c>
      <c r="M17" s="6">
        <f t="shared" si="4"/>
        <v>3.689292973127422E-2</v>
      </c>
      <c r="N17" s="6">
        <f t="shared" si="5"/>
        <v>3.6460209626304377E-2</v>
      </c>
      <c r="O17" s="7">
        <f t="shared" si="6"/>
        <v>0.27583129050207539</v>
      </c>
      <c r="P17" s="7">
        <f t="shared" si="7"/>
        <v>1</v>
      </c>
      <c r="Q17" s="7">
        <f t="shared" si="8"/>
        <v>0.57508420472547062</v>
      </c>
      <c r="R17" s="7">
        <f t="shared" si="9"/>
        <v>0.99515915958777923</v>
      </c>
      <c r="S17" s="7">
        <f t="shared" si="10"/>
        <v>0.89650340683272434</v>
      </c>
      <c r="T17" s="7">
        <f t="shared" si="11"/>
        <v>0</v>
      </c>
    </row>
    <row r="18" spans="1:20">
      <c r="A18" s="7" t="s">
        <v>34</v>
      </c>
      <c r="B18" s="1" t="s">
        <v>82</v>
      </c>
      <c r="C18" s="5">
        <v>51862</v>
      </c>
      <c r="D18" s="5">
        <v>199871</v>
      </c>
      <c r="E18" s="5">
        <v>178983</v>
      </c>
      <c r="F18" s="5">
        <v>183661</v>
      </c>
      <c r="G18" s="5">
        <v>177620</v>
      </c>
      <c r="H18" s="5">
        <v>72131</v>
      </c>
      <c r="I18" s="6">
        <f t="shared" si="0"/>
        <v>3.3470972505295384E-2</v>
      </c>
      <c r="J18" s="6">
        <f t="shared" si="1"/>
        <v>3.2725308536863312E-2</v>
      </c>
      <c r="K18" s="6">
        <f t="shared" si="2"/>
        <v>3.0723625553635669E-2</v>
      </c>
      <c r="L18" s="6">
        <f t="shared" si="3"/>
        <v>3.0202766582036012E-2</v>
      </c>
      <c r="M18" s="6">
        <f t="shared" si="4"/>
        <v>2.9783708435570554E-2</v>
      </c>
      <c r="N18" s="6">
        <f t="shared" si="5"/>
        <v>2.9295452708583535E-2</v>
      </c>
      <c r="O18" s="7">
        <f t="shared" si="6"/>
        <v>1</v>
      </c>
      <c r="P18" s="7">
        <f t="shared" si="7"/>
        <v>0.82142008546594147</v>
      </c>
      <c r="Q18" s="7">
        <f t="shared" si="8"/>
        <v>0.34203474407588641</v>
      </c>
      <c r="R18" s="7">
        <f t="shared" si="9"/>
        <v>0.21729363471512489</v>
      </c>
      <c r="S18" s="7">
        <f t="shared" si="10"/>
        <v>0.11693292111116617</v>
      </c>
      <c r="T18" s="7">
        <f t="shared" si="11"/>
        <v>0</v>
      </c>
    </row>
    <row r="19" spans="1:20">
      <c r="A19" s="7" t="s">
        <v>34</v>
      </c>
      <c r="B19" s="1" t="s">
        <v>98</v>
      </c>
      <c r="C19" s="5">
        <v>14596</v>
      </c>
      <c r="D19" s="5">
        <v>61399</v>
      </c>
      <c r="E19" s="5">
        <v>56489</v>
      </c>
      <c r="F19" s="5">
        <v>56974</v>
      </c>
      <c r="G19" s="5">
        <v>55003</v>
      </c>
      <c r="H19" s="5">
        <v>23241</v>
      </c>
      <c r="I19" s="6">
        <f t="shared" si="0"/>
        <v>9.420043860385089E-3</v>
      </c>
      <c r="J19" s="6">
        <f t="shared" si="1"/>
        <v>1.0052990273000438E-2</v>
      </c>
      <c r="K19" s="6">
        <f t="shared" si="2"/>
        <v>9.6967135644129634E-3</v>
      </c>
      <c r="L19" s="6">
        <f t="shared" si="3"/>
        <v>9.3692859303004979E-3</v>
      </c>
      <c r="M19" s="6">
        <f t="shared" si="4"/>
        <v>9.223022830096201E-3</v>
      </c>
      <c r="N19" s="6">
        <f t="shared" si="5"/>
        <v>9.439153989272156E-3</v>
      </c>
      <c r="O19" s="7">
        <f t="shared" si="6"/>
        <v>0.23738404677594171</v>
      </c>
      <c r="P19" s="7">
        <f t="shared" si="7"/>
        <v>1</v>
      </c>
      <c r="Q19" s="7">
        <f t="shared" si="8"/>
        <v>0.57073411537591823</v>
      </c>
      <c r="R19" s="7">
        <f t="shared" si="9"/>
        <v>0.17622751525347846</v>
      </c>
      <c r="S19" s="7">
        <f t="shared" si="10"/>
        <v>0</v>
      </c>
      <c r="T19" s="7">
        <f t="shared" si="11"/>
        <v>0.26040920161839726</v>
      </c>
    </row>
    <row r="20" spans="1:20">
      <c r="A20" s="7" t="s">
        <v>34</v>
      </c>
      <c r="B20" s="1" t="s">
        <v>103</v>
      </c>
      <c r="C20" s="5">
        <v>16628</v>
      </c>
      <c r="D20" s="5">
        <v>61565</v>
      </c>
      <c r="E20" s="5">
        <v>64679</v>
      </c>
      <c r="F20" s="5">
        <v>67465</v>
      </c>
      <c r="G20" s="5">
        <v>67087</v>
      </c>
      <c r="H20" s="5">
        <v>28987</v>
      </c>
      <c r="I20" s="6">
        <f t="shared" si="0"/>
        <v>1.0731466792990084E-2</v>
      </c>
      <c r="J20" s="6">
        <f t="shared" si="1"/>
        <v>1.0080169809887326E-2</v>
      </c>
      <c r="K20" s="6">
        <f t="shared" si="2"/>
        <v>1.1102581681967569E-2</v>
      </c>
      <c r="L20" s="6">
        <f t="shared" si="3"/>
        <v>1.1094514608202393E-2</v>
      </c>
      <c r="M20" s="6">
        <f t="shared" si="4"/>
        <v>1.1249294267633835E-2</v>
      </c>
      <c r="N20" s="6">
        <f t="shared" si="5"/>
        <v>1.1772847841617487E-2</v>
      </c>
      <c r="O20" s="7">
        <f t="shared" si="6"/>
        <v>0.38477310563133998</v>
      </c>
      <c r="P20" s="7">
        <f t="shared" si="7"/>
        <v>0</v>
      </c>
      <c r="Q20" s="7">
        <f t="shared" si="8"/>
        <v>0.60402028791925144</v>
      </c>
      <c r="R20" s="7">
        <f t="shared" si="9"/>
        <v>0.59925442364148851</v>
      </c>
      <c r="S20" s="7">
        <f t="shared" si="10"/>
        <v>0.69069512088574547</v>
      </c>
      <c r="T20" s="7">
        <f t="shared" si="11"/>
        <v>1</v>
      </c>
    </row>
    <row r="21" spans="1:20">
      <c r="A21" s="7" t="s">
        <v>45</v>
      </c>
      <c r="B21" s="1" t="s">
        <v>44</v>
      </c>
      <c r="C21" s="5">
        <v>20556</v>
      </c>
      <c r="D21" s="5">
        <v>72263</v>
      </c>
      <c r="E21" s="5">
        <v>72125</v>
      </c>
      <c r="F21" s="5">
        <v>76220</v>
      </c>
      <c r="G21" s="5">
        <v>74403</v>
      </c>
      <c r="H21" s="5">
        <v>32920</v>
      </c>
      <c r="I21" s="6">
        <f t="shared" si="0"/>
        <v>1.326654025719895E-2</v>
      </c>
      <c r="J21" s="6">
        <f t="shared" si="1"/>
        <v>1.1831776349742352E-2</v>
      </c>
      <c r="K21" s="6">
        <f t="shared" si="2"/>
        <v>1.2380737237927472E-2</v>
      </c>
      <c r="L21" s="6">
        <f t="shared" si="3"/>
        <v>1.2534260778732475E-2</v>
      </c>
      <c r="M21" s="6">
        <f t="shared" si="4"/>
        <v>1.2476057081025537E-2</v>
      </c>
      <c r="N21" s="6">
        <f t="shared" si="5"/>
        <v>1.3370205642048077E-2</v>
      </c>
      <c r="O21" s="7">
        <f t="shared" si="6"/>
        <v>0.93261608748117453</v>
      </c>
      <c r="P21" s="7">
        <f t="shared" si="7"/>
        <v>0</v>
      </c>
      <c r="Q21" s="7">
        <f t="shared" si="8"/>
        <v>0.35683205652068906</v>
      </c>
      <c r="R21" s="7">
        <f t="shared" si="9"/>
        <v>0.456624449692629</v>
      </c>
      <c r="S21" s="7">
        <f t="shared" si="10"/>
        <v>0.41879125319927307</v>
      </c>
      <c r="T21" s="7">
        <f t="shared" si="11"/>
        <v>1</v>
      </c>
    </row>
    <row r="22" spans="1:20">
      <c r="A22" s="7" t="s">
        <v>45</v>
      </c>
      <c r="B22" s="1" t="s">
        <v>63</v>
      </c>
      <c r="C22" s="5">
        <v>8144</v>
      </c>
      <c r="D22" s="5">
        <v>11752</v>
      </c>
      <c r="E22" s="5">
        <v>13387</v>
      </c>
      <c r="F22" s="5">
        <v>16347</v>
      </c>
      <c r="G22" s="5">
        <v>12977</v>
      </c>
      <c r="H22" s="5">
        <v>6114</v>
      </c>
      <c r="I22" s="6">
        <f t="shared" si="0"/>
        <v>5.2560178952436396E-3</v>
      </c>
      <c r="J22" s="6">
        <f t="shared" si="1"/>
        <v>1.9241802258717754E-3</v>
      </c>
      <c r="K22" s="6">
        <f t="shared" si="2"/>
        <v>2.297967825360625E-3</v>
      </c>
      <c r="L22" s="6">
        <f t="shared" si="3"/>
        <v>2.6882387949349221E-3</v>
      </c>
      <c r="M22" s="6">
        <f t="shared" si="4"/>
        <v>2.1760116223871135E-3</v>
      </c>
      <c r="N22" s="6">
        <f t="shared" si="5"/>
        <v>2.4831542313329875E-3</v>
      </c>
      <c r="O22" s="7">
        <f t="shared" si="6"/>
        <v>1</v>
      </c>
      <c r="P22" s="7">
        <f t="shared" si="7"/>
        <v>0</v>
      </c>
      <c r="Q22" s="7">
        <f t="shared" si="8"/>
        <v>0.11218661789105651</v>
      </c>
      <c r="R22" s="7">
        <f t="shared" si="9"/>
        <v>0.22932046662621203</v>
      </c>
      <c r="S22" s="7">
        <f t="shared" si="10"/>
        <v>7.5583333134838657E-2</v>
      </c>
      <c r="T22" s="7">
        <f t="shared" si="11"/>
        <v>0.16776747876993445</v>
      </c>
    </row>
    <row r="23" spans="1:20">
      <c r="A23" s="7" t="s">
        <v>45</v>
      </c>
      <c r="B23" s="1" t="s">
        <v>65</v>
      </c>
      <c r="C23" s="5">
        <v>16256</v>
      </c>
      <c r="D23" s="5">
        <v>57263</v>
      </c>
      <c r="E23" s="5">
        <v>49053</v>
      </c>
      <c r="F23" s="5">
        <v>49886</v>
      </c>
      <c r="G23" s="5">
        <v>47646</v>
      </c>
      <c r="H23" s="5">
        <v>19984</v>
      </c>
      <c r="I23" s="6">
        <f t="shared" si="0"/>
        <v>1.0491383460839956E-2</v>
      </c>
      <c r="J23" s="6">
        <f t="shared" si="1"/>
        <v>9.3757941009271172E-3</v>
      </c>
      <c r="K23" s="6">
        <f t="shared" si="2"/>
        <v>8.4202745751411623E-3</v>
      </c>
      <c r="L23" s="6">
        <f t="shared" si="3"/>
        <v>8.2036753241648934E-3</v>
      </c>
      <c r="M23" s="6">
        <f t="shared" si="4"/>
        <v>7.989385047411297E-3</v>
      </c>
      <c r="N23" s="6">
        <f t="shared" si="5"/>
        <v>8.1163484067645446E-3</v>
      </c>
      <c r="O23" s="7">
        <f t="shared" si="6"/>
        <v>1</v>
      </c>
      <c r="P23" s="7">
        <f t="shared" si="7"/>
        <v>0.55412067652590113</v>
      </c>
      <c r="Q23" s="7">
        <f t="shared" si="8"/>
        <v>0.17221814586980011</v>
      </c>
      <c r="R23" s="7">
        <f t="shared" si="9"/>
        <v>8.56476469383287E-2</v>
      </c>
      <c r="S23" s="7">
        <f t="shared" si="10"/>
        <v>0</v>
      </c>
      <c r="T23" s="7">
        <f t="shared" si="11"/>
        <v>5.0744780121287532E-2</v>
      </c>
    </row>
    <row r="24" spans="1:20">
      <c r="A24" s="7" t="s">
        <v>45</v>
      </c>
      <c r="B24" s="1" t="s">
        <v>83</v>
      </c>
      <c r="C24" s="5">
        <v>28273</v>
      </c>
      <c r="D24" s="5">
        <v>110122</v>
      </c>
      <c r="E24" s="5">
        <v>103525</v>
      </c>
      <c r="F24" s="5">
        <v>107079</v>
      </c>
      <c r="G24" s="5">
        <v>103189</v>
      </c>
      <c r="H24" s="5">
        <v>43609</v>
      </c>
      <c r="I24" s="6">
        <f t="shared" si="0"/>
        <v>1.8246978628711125E-2</v>
      </c>
      <c r="J24" s="6">
        <f t="shared" si="1"/>
        <v>1.8030511813602081E-2</v>
      </c>
      <c r="K24" s="6">
        <f t="shared" si="2"/>
        <v>1.7770756638564183E-2</v>
      </c>
      <c r="L24" s="6">
        <f t="shared" si="3"/>
        <v>1.7608975464784762E-2</v>
      </c>
      <c r="M24" s="6">
        <f t="shared" si="4"/>
        <v>1.7302956253564296E-2</v>
      </c>
      <c r="N24" s="6">
        <f t="shared" si="5"/>
        <v>1.7711461052371646E-2</v>
      </c>
      <c r="O24" s="7">
        <f t="shared" si="6"/>
        <v>1</v>
      </c>
      <c r="P24" s="7">
        <f t="shared" si="7"/>
        <v>0.77069736818962964</v>
      </c>
      <c r="Q24" s="7">
        <f t="shared" si="8"/>
        <v>0.49553950977817363</v>
      </c>
      <c r="R24" s="7">
        <f t="shared" si="9"/>
        <v>0.32416520972065821</v>
      </c>
      <c r="S24" s="7">
        <f t="shared" si="10"/>
        <v>0</v>
      </c>
      <c r="T24" s="7">
        <f t="shared" si="11"/>
        <v>0.43272787760333903</v>
      </c>
    </row>
    <row r="25" spans="1:20">
      <c r="A25" s="7" t="s">
        <v>45</v>
      </c>
      <c r="B25" s="1" t="s">
        <v>93</v>
      </c>
      <c r="C25" s="5">
        <v>8890</v>
      </c>
      <c r="D25" s="5">
        <v>36226</v>
      </c>
      <c r="E25" s="5">
        <v>48016</v>
      </c>
      <c r="F25" s="5">
        <v>49369</v>
      </c>
      <c r="G25" s="5">
        <v>45144</v>
      </c>
      <c r="H25" s="5">
        <v>19900</v>
      </c>
      <c r="I25" s="6">
        <f t="shared" si="0"/>
        <v>5.7374753301468514E-3</v>
      </c>
      <c r="J25" s="6">
        <f t="shared" si="1"/>
        <v>5.9313608630387118E-3</v>
      </c>
      <c r="K25" s="6">
        <f t="shared" si="2"/>
        <v>8.2422666095851027E-3</v>
      </c>
      <c r="L25" s="6">
        <f t="shared" si="3"/>
        <v>8.1186554760593489E-3</v>
      </c>
      <c r="M25" s="6">
        <f t="shared" si="4"/>
        <v>7.5698442383481425E-3</v>
      </c>
      <c r="N25" s="6">
        <f t="shared" si="5"/>
        <v>8.0822324506912742E-3</v>
      </c>
      <c r="O25" s="7">
        <f t="shared" si="6"/>
        <v>0</v>
      </c>
      <c r="P25" s="7">
        <f t="shared" si="7"/>
        <v>7.7405863907088909E-2</v>
      </c>
      <c r="Q25" s="7">
        <f t="shared" si="8"/>
        <v>1</v>
      </c>
      <c r="R25" s="7">
        <f t="shared" si="9"/>
        <v>0.95065012620393818</v>
      </c>
      <c r="S25" s="7">
        <f t="shared" si="10"/>
        <v>0.73154554762432578</v>
      </c>
      <c r="T25" s="7">
        <f t="shared" si="11"/>
        <v>0.93610878470891223</v>
      </c>
    </row>
    <row r="26" spans="1:20">
      <c r="A26" s="7" t="s">
        <v>45</v>
      </c>
      <c r="B26" s="1" t="s">
        <v>105</v>
      </c>
      <c r="C26" s="5">
        <v>3890</v>
      </c>
      <c r="D26" s="5">
        <v>9789</v>
      </c>
      <c r="E26" s="5">
        <v>6210</v>
      </c>
      <c r="F26" s="5">
        <v>6944</v>
      </c>
      <c r="G26" s="5">
        <v>6882</v>
      </c>
      <c r="H26" s="5">
        <v>2867</v>
      </c>
      <c r="I26" s="6">
        <f t="shared" si="0"/>
        <v>2.5105488227526716E-3</v>
      </c>
      <c r="J26" s="6">
        <f t="shared" si="1"/>
        <v>1.6027740155768219E-3</v>
      </c>
      <c r="K26" s="6">
        <f t="shared" si="2"/>
        <v>1.0659879133106357E-3</v>
      </c>
      <c r="L26" s="6">
        <f t="shared" si="3"/>
        <v>1.1419300294872514E-3</v>
      </c>
      <c r="M26" s="6">
        <f t="shared" si="4"/>
        <v>1.1539887481904997E-3</v>
      </c>
      <c r="N26" s="6">
        <f t="shared" si="5"/>
        <v>1.1644100721674314E-3</v>
      </c>
      <c r="O26" s="7">
        <f t="shared" si="6"/>
        <v>1</v>
      </c>
      <c r="P26" s="7">
        <f t="shared" si="7"/>
        <v>0.37159118646891864</v>
      </c>
      <c r="Q26" s="7">
        <f t="shared" si="8"/>
        <v>0</v>
      </c>
      <c r="R26" s="7">
        <f t="shared" si="9"/>
        <v>5.2571072413934057E-2</v>
      </c>
      <c r="S26" s="7">
        <f t="shared" si="10"/>
        <v>6.0918743062107691E-2</v>
      </c>
      <c r="T26" s="7">
        <f t="shared" si="11"/>
        <v>6.8132924138734605E-2</v>
      </c>
    </row>
    <row r="27" spans="1:20">
      <c r="A27" s="7" t="s">
        <v>45</v>
      </c>
      <c r="B27" s="1" t="s">
        <v>106</v>
      </c>
      <c r="C27" s="5">
        <v>4182</v>
      </c>
      <c r="D27" s="5">
        <v>13243</v>
      </c>
      <c r="E27" s="5">
        <v>10615</v>
      </c>
      <c r="F27" s="5">
        <v>10557</v>
      </c>
      <c r="G27" s="5">
        <v>9749</v>
      </c>
      <c r="H27" s="5">
        <v>3902</v>
      </c>
      <c r="I27" s="6">
        <f t="shared" si="0"/>
        <v>2.6990013307844917E-3</v>
      </c>
      <c r="J27" s="6">
        <f t="shared" si="1"/>
        <v>2.1683048614040096E-3</v>
      </c>
      <c r="K27" s="6">
        <f t="shared" si="2"/>
        <v>1.8221355394190657E-3</v>
      </c>
      <c r="L27" s="6">
        <f t="shared" si="3"/>
        <v>1.7360822755323896E-3</v>
      </c>
      <c r="M27" s="6">
        <f t="shared" si="4"/>
        <v>1.6347335521809331E-3</v>
      </c>
      <c r="N27" s="6">
        <f t="shared" si="5"/>
        <v>1.5847673880702187E-3</v>
      </c>
      <c r="O27" s="7">
        <f t="shared" si="6"/>
        <v>1</v>
      </c>
      <c r="P27" s="7">
        <f t="shared" si="7"/>
        <v>0.52371180859227284</v>
      </c>
      <c r="Q27" s="7">
        <f t="shared" si="8"/>
        <v>0.21303259777800199</v>
      </c>
      <c r="R27" s="7">
        <f t="shared" si="9"/>
        <v>0.1358017213993391</v>
      </c>
      <c r="S27" s="7">
        <f t="shared" si="10"/>
        <v>4.4843512834474311E-2</v>
      </c>
      <c r="T27" s="7">
        <f t="shared" si="11"/>
        <v>0</v>
      </c>
    </row>
    <row r="28" spans="1:20">
      <c r="A28" s="7" t="s">
        <v>28</v>
      </c>
      <c r="B28" s="1" t="s">
        <v>27</v>
      </c>
      <c r="C28" s="5">
        <v>20818</v>
      </c>
      <c r="D28" s="5">
        <v>77898</v>
      </c>
      <c r="E28" s="5">
        <v>67291</v>
      </c>
      <c r="F28" s="5">
        <v>67799</v>
      </c>
      <c r="G28" s="5">
        <v>68154</v>
      </c>
      <c r="H28" s="5">
        <v>29191</v>
      </c>
      <c r="I28" s="6">
        <f t="shared" si="0"/>
        <v>1.3435631206186405E-2</v>
      </c>
      <c r="J28" s="6">
        <f t="shared" si="1"/>
        <v>1.2754407014547274E-2</v>
      </c>
      <c r="K28" s="6">
        <f t="shared" si="2"/>
        <v>1.1550948900899515E-2</v>
      </c>
      <c r="L28" s="6">
        <f t="shared" si="3"/>
        <v>1.1149440390150657E-2</v>
      </c>
      <c r="M28" s="6">
        <f t="shared" si="4"/>
        <v>1.1428211151434949E-2</v>
      </c>
      <c r="N28" s="6">
        <f t="shared" si="5"/>
        <v>1.1855700877795427E-2</v>
      </c>
      <c r="O28" s="7">
        <f t="shared" si="6"/>
        <v>1</v>
      </c>
      <c r="P28" s="7">
        <f t="shared" si="7"/>
        <v>0.70202653826578965</v>
      </c>
      <c r="Q28" s="7">
        <f t="shared" si="8"/>
        <v>0.17562335914071839</v>
      </c>
      <c r="R28" s="7">
        <f t="shared" si="9"/>
        <v>0</v>
      </c>
      <c r="S28" s="7">
        <f t="shared" si="10"/>
        <v>0.12193678643486114</v>
      </c>
      <c r="T28" s="7">
        <f t="shared" si="11"/>
        <v>0.30892455813002739</v>
      </c>
    </row>
    <row r="29" spans="1:20">
      <c r="A29" s="7" t="s">
        <v>28</v>
      </c>
      <c r="B29" s="1" t="s">
        <v>61</v>
      </c>
      <c r="C29" s="5">
        <v>17952</v>
      </c>
      <c r="D29" s="5">
        <v>73540</v>
      </c>
      <c r="E29" s="5">
        <v>72409</v>
      </c>
      <c r="F29" s="5">
        <v>77237</v>
      </c>
      <c r="G29" s="5">
        <v>75696</v>
      </c>
      <c r="H29" s="5">
        <v>31429</v>
      </c>
      <c r="I29" s="6">
        <f t="shared" si="0"/>
        <v>1.1585956932148062E-2</v>
      </c>
      <c r="J29" s="6">
        <f t="shared" si="1"/>
        <v>1.2040862305191488E-2</v>
      </c>
      <c r="K29" s="6">
        <f t="shared" si="2"/>
        <v>1.2429487731869537E-2</v>
      </c>
      <c r="L29" s="6">
        <f t="shared" si="3"/>
        <v>1.2701504851311468E-2</v>
      </c>
      <c r="M29" s="6">
        <f t="shared" si="4"/>
        <v>1.26928701370282E-2</v>
      </c>
      <c r="N29" s="6">
        <f t="shared" si="5"/>
        <v>1.2764647421747542E-2</v>
      </c>
      <c r="O29" s="7">
        <f t="shared" si="6"/>
        <v>0</v>
      </c>
      <c r="P29" s="7">
        <f t="shared" si="7"/>
        <v>0.38594132815816928</v>
      </c>
      <c r="Q29" s="7">
        <f t="shared" si="8"/>
        <v>0.71565080669150671</v>
      </c>
      <c r="R29" s="7">
        <f t="shared" si="9"/>
        <v>0.94642989742156169</v>
      </c>
      <c r="S29" s="7">
        <f t="shared" si="10"/>
        <v>0.93910421323265947</v>
      </c>
      <c r="T29" s="7">
        <f t="shared" si="11"/>
        <v>1</v>
      </c>
    </row>
    <row r="30" spans="1:20">
      <c r="A30" s="7" t="s">
        <v>28</v>
      </c>
      <c r="B30" s="1" t="s">
        <v>76</v>
      </c>
      <c r="C30" s="5">
        <v>16989</v>
      </c>
      <c r="D30" s="5">
        <v>70438</v>
      </c>
      <c r="E30" s="5">
        <v>66185</v>
      </c>
      <c r="F30" s="5">
        <v>68707</v>
      </c>
      <c r="G30" s="5">
        <v>67788</v>
      </c>
      <c r="H30" s="5">
        <v>28263</v>
      </c>
      <c r="I30" s="6">
        <f t="shared" si="0"/>
        <v>1.0964450886823943E-2</v>
      </c>
      <c r="J30" s="6">
        <f t="shared" si="1"/>
        <v>1.1532965176136497E-2</v>
      </c>
      <c r="K30" s="6">
        <f t="shared" si="2"/>
        <v>1.136109662519556E-2</v>
      </c>
      <c r="L30" s="6">
        <f t="shared" si="3"/>
        <v>1.1298759581794439E-2</v>
      </c>
      <c r="M30" s="6">
        <f t="shared" si="4"/>
        <v>1.1366839474329787E-2</v>
      </c>
      <c r="N30" s="6">
        <f t="shared" si="5"/>
        <v>1.1478800791652638E-2</v>
      </c>
      <c r="O30" s="7">
        <f t="shared" si="6"/>
        <v>0</v>
      </c>
      <c r="P30" s="7">
        <f t="shared" si="7"/>
        <v>1</v>
      </c>
      <c r="Q30" s="7">
        <f t="shared" si="8"/>
        <v>0.69768824782089411</v>
      </c>
      <c r="R30" s="7">
        <f t="shared" si="9"/>
        <v>0.58803921247914714</v>
      </c>
      <c r="S30" s="7">
        <f t="shared" si="10"/>
        <v>0.70778975141049072</v>
      </c>
      <c r="T30" s="7">
        <f t="shared" si="11"/>
        <v>0.90472643255923435</v>
      </c>
    </row>
    <row r="31" spans="1:20">
      <c r="A31" s="7" t="s">
        <v>32</v>
      </c>
      <c r="B31" s="1" t="s">
        <v>31</v>
      </c>
      <c r="C31" s="5">
        <v>50960</v>
      </c>
      <c r="D31" s="5">
        <v>198464</v>
      </c>
      <c r="E31" s="5">
        <v>186677</v>
      </c>
      <c r="F31" s="5">
        <v>193517</v>
      </c>
      <c r="G31" s="5">
        <v>189068</v>
      </c>
      <c r="H31" s="5">
        <v>79485</v>
      </c>
      <c r="I31" s="6">
        <f t="shared" si="0"/>
        <v>3.288883496336148E-2</v>
      </c>
      <c r="J31" s="6">
        <f t="shared" si="1"/>
        <v>3.249493740192444E-2</v>
      </c>
      <c r="K31" s="6">
        <f t="shared" si="2"/>
        <v>3.2044351963460477E-2</v>
      </c>
      <c r="L31" s="6">
        <f t="shared" si="3"/>
        <v>3.182357049485663E-2</v>
      </c>
      <c r="M31" s="6">
        <f t="shared" si="4"/>
        <v>3.1703334007974628E-2</v>
      </c>
      <c r="N31" s="6">
        <f t="shared" si="5"/>
        <v>3.2282223434331458E-2</v>
      </c>
      <c r="O31" s="7">
        <f t="shared" si="6"/>
        <v>1</v>
      </c>
      <c r="P31" s="7">
        <f t="shared" si="7"/>
        <v>0.66773745761469805</v>
      </c>
      <c r="Q31" s="7">
        <f t="shared" si="8"/>
        <v>0.28765725909901807</v>
      </c>
      <c r="R31" s="7">
        <f t="shared" si="9"/>
        <v>0.10142251369402501</v>
      </c>
      <c r="S31" s="7">
        <f t="shared" si="10"/>
        <v>0</v>
      </c>
      <c r="T31" s="7">
        <f t="shared" si="11"/>
        <v>0.48830785308640096</v>
      </c>
    </row>
    <row r="32" spans="1:20">
      <c r="A32" s="7" t="s">
        <v>32</v>
      </c>
      <c r="B32" s="1" t="s">
        <v>43</v>
      </c>
      <c r="C32" s="5">
        <v>49426</v>
      </c>
      <c r="D32" s="5">
        <v>194337</v>
      </c>
      <c r="E32" s="5">
        <v>181820</v>
      </c>
      <c r="F32" s="5">
        <v>189232</v>
      </c>
      <c r="G32" s="5">
        <v>182978</v>
      </c>
      <c r="H32" s="5">
        <v>73081</v>
      </c>
      <c r="I32" s="6">
        <f t="shared" si="0"/>
        <v>3.1898813910892942E-2</v>
      </c>
      <c r="J32" s="6">
        <f t="shared" si="1"/>
        <v>3.1819214819200407E-2</v>
      </c>
      <c r="K32" s="6">
        <f t="shared" si="2"/>
        <v>3.1210615523049885E-2</v>
      </c>
      <c r="L32" s="6">
        <f t="shared" si="3"/>
        <v>3.1118908891119176E-2</v>
      </c>
      <c r="M32" s="6">
        <f t="shared" si="4"/>
        <v>3.0682149544667432E-2</v>
      </c>
      <c r="N32" s="6">
        <f t="shared" si="5"/>
        <v>2.9681287926078846E-2</v>
      </c>
      <c r="O32" s="7">
        <f t="shared" si="6"/>
        <v>1</v>
      </c>
      <c r="P32" s="7">
        <f t="shared" si="7"/>
        <v>0.96410455063992939</v>
      </c>
      <c r="Q32" s="7">
        <f t="shared" si="8"/>
        <v>0.6896548709886926</v>
      </c>
      <c r="R32" s="7">
        <f t="shared" si="9"/>
        <v>0.64829949001064391</v>
      </c>
      <c r="S32" s="7">
        <f t="shared" si="10"/>
        <v>0.45134155155006733</v>
      </c>
      <c r="T32" s="7">
        <f t="shared" si="11"/>
        <v>0</v>
      </c>
    </row>
    <row r="33" spans="1:20">
      <c r="A33" s="7" t="s">
        <v>32</v>
      </c>
      <c r="B33" s="1" t="s">
        <v>66</v>
      </c>
      <c r="C33" s="5">
        <v>12447</v>
      </c>
      <c r="D33" s="5">
        <v>50604</v>
      </c>
      <c r="E33" s="5">
        <v>58980</v>
      </c>
      <c r="F33" s="5">
        <v>65652</v>
      </c>
      <c r="G33" s="5">
        <v>64962</v>
      </c>
      <c r="H33" s="5">
        <v>28605</v>
      </c>
      <c r="I33" s="6">
        <f t="shared" si="0"/>
        <v>8.033110847507071E-3</v>
      </c>
      <c r="J33" s="6">
        <f t="shared" si="1"/>
        <v>8.2855017146030736E-3</v>
      </c>
      <c r="K33" s="6">
        <f t="shared" si="2"/>
        <v>1.0124310326418888E-2</v>
      </c>
      <c r="L33" s="6">
        <f t="shared" si="3"/>
        <v>1.079636957026167E-2</v>
      </c>
      <c r="M33" s="6">
        <f t="shared" si="4"/>
        <v>1.0892969639632554E-2</v>
      </c>
      <c r="N33" s="6">
        <f t="shared" si="5"/>
        <v>1.1617701469950951E-2</v>
      </c>
      <c r="O33" s="7">
        <f t="shared" si="6"/>
        <v>0</v>
      </c>
      <c r="P33" s="7">
        <f t="shared" si="7"/>
        <v>7.0409955746614405E-2</v>
      </c>
      <c r="Q33" s="7">
        <f t="shared" si="8"/>
        <v>0.58338585885327454</v>
      </c>
      <c r="R33" s="7">
        <f t="shared" si="9"/>
        <v>0.77087149239671926</v>
      </c>
      <c r="S33" s="7">
        <f t="shared" si="10"/>
        <v>0.79782019576218899</v>
      </c>
      <c r="T33" s="7">
        <f t="shared" si="11"/>
        <v>1</v>
      </c>
    </row>
    <row r="34" spans="1:20">
      <c r="A34" s="7" t="s">
        <v>32</v>
      </c>
      <c r="B34" s="1" t="s">
        <v>68</v>
      </c>
      <c r="C34" s="5">
        <v>30165</v>
      </c>
      <c r="D34" s="5">
        <v>120576</v>
      </c>
      <c r="E34" s="5">
        <v>126220</v>
      </c>
      <c r="F34" s="5">
        <v>135831</v>
      </c>
      <c r="G34" s="5">
        <v>134595</v>
      </c>
      <c r="H34" s="5">
        <v>56578</v>
      </c>
      <c r="I34" s="6">
        <f t="shared" si="0"/>
        <v>1.9468047619109086E-2</v>
      </c>
      <c r="J34" s="6">
        <f t="shared" si="1"/>
        <v>1.9742167708876379E-2</v>
      </c>
      <c r="K34" s="6">
        <f t="shared" si="2"/>
        <v>2.1666504737209089E-2</v>
      </c>
      <c r="L34" s="6">
        <f t="shared" si="3"/>
        <v>2.2337197268905939E-2</v>
      </c>
      <c r="M34" s="6">
        <f t="shared" si="4"/>
        <v>2.2569182732156395E-2</v>
      </c>
      <c r="N34" s="6">
        <f t="shared" si="5"/>
        <v>2.2978720984683967E-2</v>
      </c>
      <c r="O34" s="7">
        <f t="shared" si="6"/>
        <v>0</v>
      </c>
      <c r="P34" s="7">
        <f t="shared" si="7"/>
        <v>7.8081912277932944E-2</v>
      </c>
      <c r="Q34" s="7">
        <f t="shared" si="8"/>
        <v>0.62622092378565664</v>
      </c>
      <c r="R34" s="7">
        <f t="shared" si="9"/>
        <v>0.817264766905201</v>
      </c>
      <c r="S34" s="7">
        <f t="shared" si="10"/>
        <v>0.88334481454656499</v>
      </c>
      <c r="T34" s="7">
        <f t="shared" si="11"/>
        <v>1</v>
      </c>
    </row>
    <row r="35" spans="1:20">
      <c r="A35" s="7" t="s">
        <v>32</v>
      </c>
      <c r="B35" s="1" t="s">
        <v>77</v>
      </c>
      <c r="C35" s="5">
        <v>51777</v>
      </c>
      <c r="D35" s="5">
        <v>212325</v>
      </c>
      <c r="E35" s="5">
        <v>203823</v>
      </c>
      <c r="F35" s="5">
        <v>214322</v>
      </c>
      <c r="G35" s="5">
        <v>211208</v>
      </c>
      <c r="H35" s="5">
        <v>85558</v>
      </c>
      <c r="I35" s="6">
        <f t="shared" ref="I35:I66" si="12">C35/SUM(C$3:C$73)</f>
        <v>3.3416114754669685E-2</v>
      </c>
      <c r="J35" s="6">
        <f t="shared" ref="J35:J66" si="13">D35/SUM(D$3:D$73)</f>
        <v>3.4764428731979637E-2</v>
      </c>
      <c r="K35" s="6">
        <f t="shared" ref="K35:K66" si="14">E35/SUM(E$3:E$73)</f>
        <v>3.4987577206878215E-2</v>
      </c>
      <c r="L35" s="6">
        <f t="shared" ref="L35:L66" si="15">F35/SUM(F$3:F$73)</f>
        <v>3.5244920475196818E-2</v>
      </c>
      <c r="M35" s="6">
        <f t="shared" ref="M35:M66" si="16">G35/SUM(G$3:G$73)</f>
        <v>3.5415817426303266E-2</v>
      </c>
      <c r="N35" s="6">
        <f t="shared" ref="N35:N66" si="17">H35/SUM(H$3:H$73)</f>
        <v>3.4748725829962017E-2</v>
      </c>
      <c r="O35" s="7">
        <f t="shared" ref="O35:O66" si="18">(I35-MIN($I35:$N35))/((MAX($I35:$N35)-MIN($I35:$N35)))</f>
        <v>0</v>
      </c>
      <c r="P35" s="7">
        <f t="shared" ref="P35:P66" si="19">(J35-MIN($I35:$N35))/((MAX($I35:$N35)-MIN($I35:$N35)))</f>
        <v>0.67425722655483489</v>
      </c>
      <c r="Q35" s="7">
        <f t="shared" ref="Q35:Q66" si="20">(K35-MIN($I35:$N35))/((MAX($I35:$N35)-MIN($I35:$N35)))</f>
        <v>0.78584805356327481</v>
      </c>
      <c r="R35" s="7">
        <f t="shared" ref="R35:R66" si="21">(L35-MIN($I35:$N35))/((MAX($I35:$N35)-MIN($I35:$N35)))</f>
        <v>0.91453881943017079</v>
      </c>
      <c r="S35" s="7">
        <f t="shared" ref="S35:S66" si="22">(M35-MIN($I35:$N35))/((MAX($I35:$N35)-MIN($I35:$N35)))</f>
        <v>1</v>
      </c>
      <c r="T35" s="7">
        <f t="shared" ref="T35:T66" si="23">(N35-MIN($I35:$N35))/((MAX($I35:$N35)-MIN($I35:$N35)))</f>
        <v>0.66640460814292268</v>
      </c>
    </row>
    <row r="36" spans="1:20">
      <c r="A36" s="7" t="s">
        <v>32</v>
      </c>
      <c r="B36" s="1" t="s">
        <v>94</v>
      </c>
      <c r="C36" s="5">
        <v>42030</v>
      </c>
      <c r="D36" s="5">
        <v>179194</v>
      </c>
      <c r="E36" s="5">
        <v>177871</v>
      </c>
      <c r="F36" s="5">
        <v>188276</v>
      </c>
      <c r="G36" s="5">
        <v>185459</v>
      </c>
      <c r="H36" s="5">
        <v>75399</v>
      </c>
      <c r="I36" s="6">
        <f t="shared" si="12"/>
        <v>2.712554422115547E-2</v>
      </c>
      <c r="J36" s="6">
        <f t="shared" si="13"/>
        <v>2.9339818872946472E-2</v>
      </c>
      <c r="K36" s="6">
        <f t="shared" si="14"/>
        <v>3.0532743337918854E-2</v>
      </c>
      <c r="L36" s="6">
        <f t="shared" si="15"/>
        <v>3.0961696173925943E-2</v>
      </c>
      <c r="M36" s="6">
        <f t="shared" si="16"/>
        <v>3.1098169027995042E-2</v>
      </c>
      <c r="N36" s="6">
        <f t="shared" si="17"/>
        <v>3.0622725856767407E-2</v>
      </c>
      <c r="O36" s="7">
        <f t="shared" si="18"/>
        <v>0</v>
      </c>
      <c r="P36" s="7">
        <f t="shared" si="19"/>
        <v>0.55738328169796925</v>
      </c>
      <c r="Q36" s="7">
        <f t="shared" si="20"/>
        <v>0.85766949622257083</v>
      </c>
      <c r="R36" s="7">
        <f t="shared" si="21"/>
        <v>0.96564667928515757</v>
      </c>
      <c r="S36" s="7">
        <f t="shared" si="22"/>
        <v>1</v>
      </c>
      <c r="T36" s="7">
        <f t="shared" si="23"/>
        <v>0.88032014238820733</v>
      </c>
    </row>
    <row r="37" spans="1:20">
      <c r="A37" s="7" t="s">
        <v>39</v>
      </c>
      <c r="B37" s="1" t="s">
        <v>38</v>
      </c>
      <c r="C37" s="5">
        <v>14647</v>
      </c>
      <c r="D37" s="5">
        <v>63395</v>
      </c>
      <c r="E37" s="5">
        <v>63413</v>
      </c>
      <c r="F37" s="5">
        <v>65228</v>
      </c>
      <c r="G37" s="5">
        <v>63936</v>
      </c>
      <c r="H37" s="5">
        <v>26943</v>
      </c>
      <c r="I37" s="6">
        <f t="shared" si="12"/>
        <v>9.4529585107605094E-3</v>
      </c>
      <c r="J37" s="6">
        <f t="shared" si="13"/>
        <v>1.0379799644242784E-2</v>
      </c>
      <c r="K37" s="6">
        <f t="shared" si="14"/>
        <v>1.0885264339254E-2</v>
      </c>
      <c r="L37" s="6">
        <f t="shared" si="15"/>
        <v>1.0726643427908184E-2</v>
      </c>
      <c r="M37" s="6">
        <f t="shared" si="16"/>
        <v>1.0720927725124643E-2</v>
      </c>
      <c r="N37" s="6">
        <f t="shared" si="17"/>
        <v>1.0942692910501256E-2</v>
      </c>
      <c r="O37" s="7">
        <f t="shared" si="18"/>
        <v>0</v>
      </c>
      <c r="P37" s="7">
        <f t="shared" si="19"/>
        <v>0.6221519310043252</v>
      </c>
      <c r="Q37" s="7">
        <f t="shared" si="20"/>
        <v>0.96145046307768001</v>
      </c>
      <c r="R37" s="7">
        <f t="shared" si="21"/>
        <v>0.85497449570160233</v>
      </c>
      <c r="S37" s="7">
        <f t="shared" si="22"/>
        <v>0.85113776964859855</v>
      </c>
      <c r="T37" s="7">
        <f t="shared" si="23"/>
        <v>1</v>
      </c>
    </row>
    <row r="38" spans="1:20">
      <c r="A38" s="7" t="s">
        <v>39</v>
      </c>
      <c r="B38" s="1" t="s">
        <v>48</v>
      </c>
      <c r="C38" s="5">
        <v>46781</v>
      </c>
      <c r="D38" s="5">
        <v>186970</v>
      </c>
      <c r="E38" s="5">
        <v>181828</v>
      </c>
      <c r="F38" s="5">
        <v>189161</v>
      </c>
      <c r="G38" s="5">
        <v>187386</v>
      </c>
      <c r="H38" s="5">
        <v>78561</v>
      </c>
      <c r="I38" s="6">
        <f t="shared" si="12"/>
        <v>3.0191769788481423E-2</v>
      </c>
      <c r="J38" s="6">
        <f t="shared" si="13"/>
        <v>3.0613000070732289E-2</v>
      </c>
      <c r="K38" s="6">
        <f t="shared" si="14"/>
        <v>3.1211988776400367E-2</v>
      </c>
      <c r="L38" s="6">
        <f t="shared" si="15"/>
        <v>3.1107233051243945E-2</v>
      </c>
      <c r="M38" s="6">
        <f t="shared" si="16"/>
        <v>3.1421292584775495E-2</v>
      </c>
      <c r="N38" s="6">
        <f t="shared" si="17"/>
        <v>3.1906947917525491E-2</v>
      </c>
      <c r="O38" s="7">
        <f t="shared" si="18"/>
        <v>0</v>
      </c>
      <c r="P38" s="7">
        <f t="shared" si="19"/>
        <v>0.24558981665982046</v>
      </c>
      <c r="Q38" s="7">
        <f t="shared" si="20"/>
        <v>0.59481809535873098</v>
      </c>
      <c r="R38" s="7">
        <f t="shared" si="21"/>
        <v>0.53374238352301229</v>
      </c>
      <c r="S38" s="7">
        <f t="shared" si="22"/>
        <v>0.71684845758809368</v>
      </c>
      <c r="T38" s="7">
        <f t="shared" si="23"/>
        <v>1</v>
      </c>
    </row>
    <row r="39" spans="1:20">
      <c r="A39" s="7" t="s">
        <v>39</v>
      </c>
      <c r="B39" s="1" t="s">
        <v>58</v>
      </c>
      <c r="C39" s="5">
        <v>2033</v>
      </c>
      <c r="D39" s="5">
        <v>8635</v>
      </c>
      <c r="E39" s="5">
        <v>9455</v>
      </c>
      <c r="F39" s="5">
        <v>10553</v>
      </c>
      <c r="G39" s="5">
        <v>10896</v>
      </c>
      <c r="H39" s="5">
        <v>4777</v>
      </c>
      <c r="I39" s="6">
        <f t="shared" si="12"/>
        <v>1.3120683179064733E-3</v>
      </c>
      <c r="J39" s="6">
        <f t="shared" si="13"/>
        <v>1.4138271145679698E-3</v>
      </c>
      <c r="K39" s="6">
        <f t="shared" si="14"/>
        <v>1.6230138035993656E-3</v>
      </c>
      <c r="L39" s="6">
        <f t="shared" si="15"/>
        <v>1.7354244817366019E-3</v>
      </c>
      <c r="M39" s="6">
        <f t="shared" si="16"/>
        <v>1.827065010212683E-3</v>
      </c>
      <c r="N39" s="6">
        <f t="shared" si="17"/>
        <v>1.9401419305001115E-3</v>
      </c>
      <c r="O39" s="7">
        <f t="shared" si="18"/>
        <v>0</v>
      </c>
      <c r="P39" s="7">
        <f t="shared" si="19"/>
        <v>0.16201730915152163</v>
      </c>
      <c r="Q39" s="7">
        <f t="shared" si="20"/>
        <v>0.4950780918956918</v>
      </c>
      <c r="R39" s="7">
        <f t="shared" si="21"/>
        <v>0.6740550077910038</v>
      </c>
      <c r="S39" s="7">
        <f t="shared" si="22"/>
        <v>0.81996231330197777</v>
      </c>
      <c r="T39" s="7">
        <f t="shared" si="23"/>
        <v>1</v>
      </c>
    </row>
    <row r="40" spans="1:20">
      <c r="A40" s="7" t="s">
        <v>39</v>
      </c>
      <c r="B40" s="1" t="s">
        <v>73</v>
      </c>
      <c r="C40" s="5">
        <v>1</v>
      </c>
      <c r="D40" s="5">
        <v>3</v>
      </c>
      <c r="E40" s="5">
        <v>6</v>
      </c>
      <c r="F40" s="5">
        <v>6</v>
      </c>
      <c r="G40" s="5">
        <v>4</v>
      </c>
      <c r="H40" s="5">
        <v>20</v>
      </c>
      <c r="I40" s="6">
        <f t="shared" si="12"/>
        <v>6.4538530147883592E-7</v>
      </c>
      <c r="J40" s="6">
        <f t="shared" si="13"/>
        <v>4.9119644976304687E-7</v>
      </c>
      <c r="K40" s="6">
        <f t="shared" si="14"/>
        <v>1.0299400128605177E-6</v>
      </c>
      <c r="L40" s="6">
        <f t="shared" si="15"/>
        <v>9.8669069368138086E-7</v>
      </c>
      <c r="M40" s="6">
        <f t="shared" si="16"/>
        <v>6.7072871153182198E-7</v>
      </c>
      <c r="N40" s="6">
        <f t="shared" si="17"/>
        <v>8.1228466841118337E-6</v>
      </c>
      <c r="O40" s="7">
        <f t="shared" si="18"/>
        <v>2.0203867706333121E-2</v>
      </c>
      <c r="P40" s="7">
        <f t="shared" si="19"/>
        <v>0</v>
      </c>
      <c r="Q40" s="7">
        <f t="shared" si="20"/>
        <v>7.0593324714054079E-2</v>
      </c>
      <c r="R40" s="7">
        <f t="shared" si="21"/>
        <v>6.4926225482425395E-2</v>
      </c>
      <c r="S40" s="7">
        <f t="shared" si="22"/>
        <v>2.352469731392174E-2</v>
      </c>
      <c r="T40" s="7">
        <f t="shared" si="23"/>
        <v>1</v>
      </c>
    </row>
    <row r="41" spans="1:20">
      <c r="A41" s="7" t="s">
        <v>39</v>
      </c>
      <c r="B41" s="1" t="s">
        <v>91</v>
      </c>
      <c r="C41" s="5">
        <v>42440</v>
      </c>
      <c r="D41" s="5">
        <v>165990</v>
      </c>
      <c r="E41" s="5">
        <v>160975</v>
      </c>
      <c r="F41" s="5">
        <v>167232</v>
      </c>
      <c r="G41" s="5">
        <v>162689</v>
      </c>
      <c r="H41" s="5">
        <v>68389</v>
      </c>
      <c r="I41" s="6">
        <f t="shared" si="12"/>
        <v>2.7390152194761794E-2</v>
      </c>
      <c r="J41" s="6">
        <f t="shared" si="13"/>
        <v>2.717789956538938E-2</v>
      </c>
      <c r="K41" s="6">
        <f t="shared" si="14"/>
        <v>2.7632432261703636E-2</v>
      </c>
      <c r="L41" s="6">
        <f t="shared" si="15"/>
        <v>2.7501043014287446E-2</v>
      </c>
      <c r="M41" s="6">
        <f t="shared" si="16"/>
        <v>2.7280045837600145E-2</v>
      </c>
      <c r="N41" s="6">
        <f t="shared" si="17"/>
        <v>2.7775668093986211E-2</v>
      </c>
      <c r="O41" s="7">
        <f t="shared" si="18"/>
        <v>0.35507494827578973</v>
      </c>
      <c r="P41" s="7">
        <f t="shared" si="19"/>
        <v>0</v>
      </c>
      <c r="Q41" s="7">
        <f t="shared" si="20"/>
        <v>0.76038244666577126</v>
      </c>
      <c r="R41" s="7">
        <f t="shared" si="21"/>
        <v>0.54058290699343925</v>
      </c>
      <c r="S41" s="7">
        <f t="shared" si="22"/>
        <v>0.17087930749806732</v>
      </c>
      <c r="T41" s="7">
        <f t="shared" si="23"/>
        <v>1</v>
      </c>
    </row>
    <row r="42" spans="1:20">
      <c r="A42" s="7" t="s">
        <v>39</v>
      </c>
      <c r="B42" s="1" t="s">
        <v>95</v>
      </c>
      <c r="C42" s="5">
        <v>29987</v>
      </c>
      <c r="D42" s="5">
        <v>121734</v>
      </c>
      <c r="E42" s="5">
        <v>108428</v>
      </c>
      <c r="F42" s="5">
        <v>109164</v>
      </c>
      <c r="G42" s="5">
        <v>105770</v>
      </c>
      <c r="H42" s="5">
        <v>43380</v>
      </c>
      <c r="I42" s="6">
        <f t="shared" si="12"/>
        <v>1.9353169035445851E-2</v>
      </c>
      <c r="J42" s="6">
        <f t="shared" si="13"/>
        <v>1.9931769538484915E-2</v>
      </c>
      <c r="K42" s="6">
        <f t="shared" si="14"/>
        <v>1.8612389285740036E-2</v>
      </c>
      <c r="L42" s="6">
        <f t="shared" si="15"/>
        <v>1.7951850480839044E-2</v>
      </c>
      <c r="M42" s="6">
        <f t="shared" si="16"/>
        <v>1.7735743954680201E-2</v>
      </c>
      <c r="N42" s="6">
        <f t="shared" si="17"/>
        <v>1.7618454457838568E-2</v>
      </c>
      <c r="O42" s="7">
        <f t="shared" si="18"/>
        <v>0.74988253529328952</v>
      </c>
      <c r="P42" s="7">
        <f t="shared" si="19"/>
        <v>1</v>
      </c>
      <c r="Q42" s="7">
        <f t="shared" si="20"/>
        <v>0.42965821483503219</v>
      </c>
      <c r="R42" s="7">
        <f t="shared" si="21"/>
        <v>0.1441204554406503</v>
      </c>
      <c r="S42" s="7">
        <f t="shared" si="22"/>
        <v>5.0701911651767885E-2</v>
      </c>
      <c r="T42" s="7">
        <f t="shared" si="23"/>
        <v>0</v>
      </c>
    </row>
    <row r="43" spans="1:20">
      <c r="A43" s="7" t="s">
        <v>39</v>
      </c>
      <c r="B43" s="1" t="s">
        <v>99</v>
      </c>
      <c r="C43" s="5">
        <v>53369</v>
      </c>
      <c r="D43" s="5">
        <v>212263</v>
      </c>
      <c r="E43" s="5">
        <v>205393</v>
      </c>
      <c r="F43" s="5">
        <v>214495</v>
      </c>
      <c r="G43" s="5">
        <v>210095</v>
      </c>
      <c r="H43" s="5">
        <v>88086</v>
      </c>
      <c r="I43" s="6">
        <f t="shared" si="12"/>
        <v>3.4443568154623995E-2</v>
      </c>
      <c r="J43" s="6">
        <f t="shared" si="13"/>
        <v>3.4754277338684539E-2</v>
      </c>
      <c r="K43" s="6">
        <f t="shared" si="14"/>
        <v>3.5257078176910046E-2</v>
      </c>
      <c r="L43" s="6">
        <f t="shared" si="15"/>
        <v>3.5273370056864629E-2</v>
      </c>
      <c r="M43" s="6">
        <f t="shared" si="16"/>
        <v>3.5229187162319535E-2</v>
      </c>
      <c r="N43" s="6">
        <f t="shared" si="17"/>
        <v>3.5775453650833747E-2</v>
      </c>
      <c r="O43" s="7">
        <f t="shared" si="18"/>
        <v>0</v>
      </c>
      <c r="P43" s="7">
        <f t="shared" si="19"/>
        <v>0.23328520728302299</v>
      </c>
      <c r="Q43" s="7">
        <f t="shared" si="20"/>
        <v>0.61079576630357413</v>
      </c>
      <c r="R43" s="7">
        <f t="shared" si="21"/>
        <v>0.6230279589364589</v>
      </c>
      <c r="S43" s="7">
        <f t="shared" si="22"/>
        <v>0.58985476599244901</v>
      </c>
      <c r="T43" s="7">
        <f t="shared" si="23"/>
        <v>1</v>
      </c>
    </row>
    <row r="44" spans="1:20">
      <c r="A44" s="7" t="s">
        <v>79</v>
      </c>
      <c r="B44" s="1" t="s">
        <v>78</v>
      </c>
      <c r="C44" s="5">
        <v>1862</v>
      </c>
      <c r="D44" s="5">
        <v>4662</v>
      </c>
      <c r="E44" s="5">
        <v>3938</v>
      </c>
      <c r="F44" s="5">
        <v>3964</v>
      </c>
      <c r="G44" s="5">
        <v>3560</v>
      </c>
      <c r="H44" s="5">
        <v>1475</v>
      </c>
      <c r="I44" s="6">
        <f t="shared" si="12"/>
        <v>1.2017074313535924E-3</v>
      </c>
      <c r="J44" s="6">
        <f t="shared" si="13"/>
        <v>7.6331928293177473E-4</v>
      </c>
      <c r="K44" s="6">
        <f t="shared" si="14"/>
        <v>6.7598396177411977E-4</v>
      </c>
      <c r="L44" s="6">
        <f t="shared" si="15"/>
        <v>6.5187365162549886E-4</v>
      </c>
      <c r="M44" s="6">
        <f t="shared" si="16"/>
        <v>5.9694855326332158E-4</v>
      </c>
      <c r="N44" s="6">
        <f t="shared" si="17"/>
        <v>5.990599429532477E-4</v>
      </c>
      <c r="O44" s="7">
        <f t="shared" si="18"/>
        <v>1</v>
      </c>
      <c r="P44" s="7">
        <f t="shared" si="19"/>
        <v>0.27510258335326071</v>
      </c>
      <c r="Q44" s="7">
        <f t="shared" si="20"/>
        <v>0.1306891248300133</v>
      </c>
      <c r="R44" s="7">
        <f t="shared" si="21"/>
        <v>9.082148332509267E-2</v>
      </c>
      <c r="S44" s="7">
        <f t="shared" si="22"/>
        <v>0</v>
      </c>
      <c r="T44" s="7">
        <f t="shared" si="23"/>
        <v>3.4912917634107934E-3</v>
      </c>
    </row>
    <row r="45" spans="1:20">
      <c r="A45" s="7" t="s">
        <v>79</v>
      </c>
      <c r="B45" s="1" t="s">
        <v>88</v>
      </c>
      <c r="C45" s="5">
        <v>1861</v>
      </c>
      <c r="D45" s="5">
        <v>7785</v>
      </c>
      <c r="E45" s="5">
        <v>9198</v>
      </c>
      <c r="F45" s="5">
        <v>10460</v>
      </c>
      <c r="G45" s="5">
        <v>10246</v>
      </c>
      <c r="H45" s="5">
        <v>4737</v>
      </c>
      <c r="I45" s="6">
        <f t="shared" si="12"/>
        <v>1.2010620460521136E-3</v>
      </c>
      <c r="J45" s="6">
        <f t="shared" si="13"/>
        <v>1.2746547871351065E-3</v>
      </c>
      <c r="K45" s="6">
        <f t="shared" si="14"/>
        <v>1.5788980397151734E-3</v>
      </c>
      <c r="L45" s="6">
        <f t="shared" si="15"/>
        <v>1.7201307759845406E-3</v>
      </c>
      <c r="M45" s="6">
        <f t="shared" si="16"/>
        <v>1.718071594588762E-3</v>
      </c>
      <c r="N45" s="6">
        <f t="shared" si="17"/>
        <v>1.9238962371318877E-3</v>
      </c>
      <c r="O45" s="7">
        <f t="shared" si="18"/>
        <v>0</v>
      </c>
      <c r="P45" s="7">
        <f t="shared" si="19"/>
        <v>0.10181137249894001</v>
      </c>
      <c r="Q45" s="7">
        <f t="shared" si="20"/>
        <v>0.52271461190656476</v>
      </c>
      <c r="R45" s="7">
        <f t="shared" si="21"/>
        <v>0.71810207145436622</v>
      </c>
      <c r="S45" s="7">
        <f t="shared" si="22"/>
        <v>0.71525331108692625</v>
      </c>
      <c r="T45" s="7">
        <f t="shared" si="23"/>
        <v>1</v>
      </c>
    </row>
    <row r="46" spans="1:20">
      <c r="A46" s="7" t="s">
        <v>79</v>
      </c>
      <c r="B46" s="1" t="s">
        <v>89</v>
      </c>
      <c r="C46" s="5">
        <v>2770</v>
      </c>
      <c r="D46" s="5">
        <v>12493</v>
      </c>
      <c r="E46" s="5">
        <v>15558</v>
      </c>
      <c r="F46" s="5">
        <v>16898</v>
      </c>
      <c r="G46" s="5">
        <v>17283</v>
      </c>
      <c r="H46" s="5">
        <v>7506</v>
      </c>
      <c r="I46" s="6">
        <f t="shared" si="12"/>
        <v>1.7877172850963754E-3</v>
      </c>
      <c r="J46" s="6">
        <f t="shared" si="13"/>
        <v>2.0455057489632482E-3</v>
      </c>
      <c r="K46" s="6">
        <f t="shared" si="14"/>
        <v>2.6706344533473222E-3</v>
      </c>
      <c r="L46" s="6">
        <f t="shared" si="15"/>
        <v>2.7788498903046619E-3</v>
      </c>
      <c r="M46" s="6">
        <f t="shared" si="16"/>
        <v>2.8980510803511199E-3</v>
      </c>
      <c r="N46" s="6">
        <f t="shared" si="17"/>
        <v>3.0485043605471712E-3</v>
      </c>
      <c r="O46" s="7">
        <f t="shared" si="18"/>
        <v>0</v>
      </c>
      <c r="P46" s="7">
        <f t="shared" si="19"/>
        <v>0.20446629640036579</v>
      </c>
      <c r="Q46" s="7">
        <f t="shared" si="20"/>
        <v>0.70029046572773501</v>
      </c>
      <c r="R46" s="7">
        <f t="shared" si="21"/>
        <v>0.78612211729241122</v>
      </c>
      <c r="S46" s="7">
        <f t="shared" si="22"/>
        <v>0.88066717757060087</v>
      </c>
      <c r="T46" s="7">
        <f t="shared" si="23"/>
        <v>1</v>
      </c>
    </row>
    <row r="47" spans="1:20">
      <c r="A47" s="7" t="s">
        <v>79</v>
      </c>
      <c r="B47" s="1" t="s">
        <v>90</v>
      </c>
      <c r="C47" s="5">
        <v>8525</v>
      </c>
      <c r="D47" s="5">
        <v>29952</v>
      </c>
      <c r="E47" s="5">
        <v>25962</v>
      </c>
      <c r="F47" s="5">
        <v>26983</v>
      </c>
      <c r="G47" s="5">
        <v>25885</v>
      </c>
      <c r="H47" s="5">
        <v>10821</v>
      </c>
      <c r="I47" s="6">
        <f t="shared" si="12"/>
        <v>5.5019096951070762E-3</v>
      </c>
      <c r="J47" s="6">
        <f t="shared" si="13"/>
        <v>4.9041053544342595E-3</v>
      </c>
      <c r="K47" s="6">
        <f t="shared" si="14"/>
        <v>4.45655043564746E-3</v>
      </c>
      <c r="L47" s="6">
        <f t="shared" si="15"/>
        <v>4.4373124979341164E-3</v>
      </c>
      <c r="M47" s="6">
        <f t="shared" si="16"/>
        <v>4.3404531745003033E-3</v>
      </c>
      <c r="N47" s="6">
        <f t="shared" si="17"/>
        <v>4.3948661984387081E-3</v>
      </c>
      <c r="O47" s="7">
        <f t="shared" si="18"/>
        <v>1</v>
      </c>
      <c r="P47" s="7">
        <f t="shared" si="19"/>
        <v>0.48529770157860985</v>
      </c>
      <c r="Q47" s="7">
        <f t="shared" si="20"/>
        <v>9.9958336009431284E-2</v>
      </c>
      <c r="R47" s="7">
        <f t="shared" si="21"/>
        <v>8.3394704593170152E-2</v>
      </c>
      <c r="S47" s="7">
        <f t="shared" si="22"/>
        <v>0</v>
      </c>
      <c r="T47" s="7">
        <f t="shared" si="23"/>
        <v>4.6848954715909712E-2</v>
      </c>
    </row>
    <row r="48" spans="1:20">
      <c r="A48" s="7" t="s">
        <v>71</v>
      </c>
      <c r="B48" s="1" t="s">
        <v>70</v>
      </c>
      <c r="C48" s="5">
        <v>9574</v>
      </c>
      <c r="D48" s="5">
        <v>39534</v>
      </c>
      <c r="E48" s="5">
        <v>40480</v>
      </c>
      <c r="F48" s="5">
        <v>42942</v>
      </c>
      <c r="G48" s="5">
        <v>42572</v>
      </c>
      <c r="H48" s="5">
        <v>18348</v>
      </c>
      <c r="I48" s="6">
        <f t="shared" si="12"/>
        <v>6.178918876358375E-3</v>
      </c>
      <c r="J48" s="6">
        <f t="shared" si="13"/>
        <v>6.472986814977431E-3</v>
      </c>
      <c r="K48" s="6">
        <f t="shared" si="14"/>
        <v>6.9486619534322924E-3</v>
      </c>
      <c r="L48" s="6">
        <f t="shared" si="15"/>
        <v>7.061745294677642E-3</v>
      </c>
      <c r="M48" s="6">
        <f t="shared" si="16"/>
        <v>7.138565676833181E-3</v>
      </c>
      <c r="N48" s="6">
        <f t="shared" si="17"/>
        <v>7.4518995480041964E-3</v>
      </c>
      <c r="O48" s="7">
        <f t="shared" si="18"/>
        <v>0</v>
      </c>
      <c r="P48" s="7">
        <f t="shared" si="19"/>
        <v>0.23100738696908818</v>
      </c>
      <c r="Q48" s="7">
        <f t="shared" si="20"/>
        <v>0.60467774116218576</v>
      </c>
      <c r="R48" s="7">
        <f t="shared" si="21"/>
        <v>0.69351125117859913</v>
      </c>
      <c r="S48" s="7">
        <f t="shared" si="22"/>
        <v>0.75385810786434815</v>
      </c>
      <c r="T48" s="7">
        <f t="shared" si="23"/>
        <v>1</v>
      </c>
    </row>
    <row r="49" spans="1:20">
      <c r="A49" s="7" t="s">
        <v>71</v>
      </c>
      <c r="B49" s="1" t="s">
        <v>74</v>
      </c>
      <c r="C49" s="5">
        <v>26534</v>
      </c>
      <c r="D49" s="5">
        <v>114222</v>
      </c>
      <c r="E49" s="5">
        <v>110409</v>
      </c>
      <c r="F49" s="5">
        <v>118150</v>
      </c>
      <c r="G49" s="5">
        <v>118532</v>
      </c>
      <c r="H49" s="5">
        <v>46604</v>
      </c>
      <c r="I49" s="6">
        <f t="shared" si="12"/>
        <v>1.7124653589439431E-2</v>
      </c>
      <c r="J49" s="6">
        <f t="shared" si="13"/>
        <v>1.8701813628278247E-2</v>
      </c>
      <c r="K49" s="6">
        <f t="shared" si="14"/>
        <v>1.8952441146652815E-2</v>
      </c>
      <c r="L49" s="6">
        <f t="shared" si="15"/>
        <v>1.9429584243075858E-2</v>
      </c>
      <c r="M49" s="6">
        <f t="shared" si="16"/>
        <v>1.9875703908822481E-2</v>
      </c>
      <c r="N49" s="6">
        <f t="shared" si="17"/>
        <v>1.8927857343317395E-2</v>
      </c>
      <c r="O49" s="7">
        <f t="shared" si="18"/>
        <v>0</v>
      </c>
      <c r="P49" s="7">
        <f t="shared" si="19"/>
        <v>0.57329378082495752</v>
      </c>
      <c r="Q49" s="7">
        <f t="shared" si="20"/>
        <v>0.66439626506842075</v>
      </c>
      <c r="R49" s="7">
        <f t="shared" si="21"/>
        <v>0.83783660276825844</v>
      </c>
      <c r="S49" s="7">
        <f t="shared" si="22"/>
        <v>1</v>
      </c>
      <c r="T49" s="7">
        <f t="shared" si="23"/>
        <v>0.65546011324225795</v>
      </c>
    </row>
    <row r="50" spans="1:20">
      <c r="A50" s="7" t="s">
        <v>71</v>
      </c>
      <c r="B50" s="1" t="s">
        <v>80</v>
      </c>
      <c r="C50" s="5">
        <v>19021</v>
      </c>
      <c r="D50" s="5">
        <v>81534</v>
      </c>
      <c r="E50" s="5">
        <v>85705</v>
      </c>
      <c r="F50" s="5">
        <v>92383</v>
      </c>
      <c r="G50" s="5">
        <v>91146</v>
      </c>
      <c r="H50" s="5">
        <v>38977</v>
      </c>
      <c r="I50" s="6">
        <f t="shared" si="12"/>
        <v>1.2275873819428938E-2</v>
      </c>
      <c r="J50" s="6">
        <f t="shared" si="13"/>
        <v>1.3349737111660086E-2</v>
      </c>
      <c r="K50" s="6">
        <f t="shared" si="14"/>
        <v>1.4711834800368443E-2</v>
      </c>
      <c r="L50" s="6">
        <f t="shared" si="15"/>
        <v>1.5192241059061168E-2</v>
      </c>
      <c r="M50" s="6">
        <f t="shared" si="16"/>
        <v>1.5283559785319862E-2</v>
      </c>
      <c r="N50" s="6">
        <f t="shared" si="17"/>
        <v>1.5830209760331348E-2</v>
      </c>
      <c r="O50" s="7">
        <f t="shared" si="18"/>
        <v>0</v>
      </c>
      <c r="P50" s="7">
        <f t="shared" si="19"/>
        <v>0.30212768575794935</v>
      </c>
      <c r="Q50" s="7">
        <f t="shared" si="20"/>
        <v>0.68534911202598359</v>
      </c>
      <c r="R50" s="7">
        <f t="shared" si="21"/>
        <v>0.8205097346233946</v>
      </c>
      <c r="S50" s="7">
        <f t="shared" si="22"/>
        <v>0.84620193923686982</v>
      </c>
      <c r="T50" s="7">
        <f t="shared" si="23"/>
        <v>1</v>
      </c>
    </row>
    <row r="51" spans="1:20">
      <c r="A51" s="7" t="s">
        <v>71</v>
      </c>
      <c r="B51" s="1" t="s">
        <v>92</v>
      </c>
      <c r="C51" s="5">
        <v>8690</v>
      </c>
      <c r="D51" s="5">
        <v>38933</v>
      </c>
      <c r="E51" s="5">
        <v>40291</v>
      </c>
      <c r="F51" s="5">
        <v>42482</v>
      </c>
      <c r="G51" s="5">
        <v>41682</v>
      </c>
      <c r="H51" s="5">
        <v>17617</v>
      </c>
      <c r="I51" s="6">
        <f t="shared" si="12"/>
        <v>5.6083982698510839E-3</v>
      </c>
      <c r="J51" s="6">
        <f t="shared" si="13"/>
        <v>6.3745837928749008E-3</v>
      </c>
      <c r="K51" s="6">
        <f t="shared" si="14"/>
        <v>6.9162188430271863E-3</v>
      </c>
      <c r="L51" s="6">
        <f t="shared" si="15"/>
        <v>6.9860990081620699E-3</v>
      </c>
      <c r="M51" s="6">
        <f t="shared" si="16"/>
        <v>6.9893285385173509E-3</v>
      </c>
      <c r="N51" s="6">
        <f t="shared" si="17"/>
        <v>7.1550095016999085E-3</v>
      </c>
      <c r="O51" s="7">
        <f t="shared" si="18"/>
        <v>0</v>
      </c>
      <c r="P51" s="7">
        <f t="shared" si="19"/>
        <v>0.49539632665664529</v>
      </c>
      <c r="Q51" s="7">
        <f t="shared" si="20"/>
        <v>0.84560395414478462</v>
      </c>
      <c r="R51" s="7">
        <f t="shared" si="21"/>
        <v>0.89078671481266669</v>
      </c>
      <c r="S51" s="7">
        <f t="shared" si="22"/>
        <v>0.89287484807380968</v>
      </c>
      <c r="T51" s="7">
        <f t="shared" si="23"/>
        <v>1</v>
      </c>
    </row>
    <row r="52" spans="1:20">
      <c r="A52" s="7" t="s">
        <v>71</v>
      </c>
      <c r="B52" s="1" t="s">
        <v>96</v>
      </c>
      <c r="C52" s="5">
        <v>9875</v>
      </c>
      <c r="D52" s="5">
        <v>38880</v>
      </c>
      <c r="E52" s="5">
        <v>40383</v>
      </c>
      <c r="F52" s="5">
        <v>43786</v>
      </c>
      <c r="G52" s="5">
        <v>43875</v>
      </c>
      <c r="H52" s="5">
        <v>18718</v>
      </c>
      <c r="I52" s="6">
        <f t="shared" si="12"/>
        <v>6.3731798521035046E-3</v>
      </c>
      <c r="J52" s="6">
        <f t="shared" si="13"/>
        <v>6.3659059889290869E-3</v>
      </c>
      <c r="K52" s="6">
        <f t="shared" si="14"/>
        <v>6.9320112565577135E-3</v>
      </c>
      <c r="L52" s="6">
        <f t="shared" si="15"/>
        <v>7.2005397855888229E-3</v>
      </c>
      <c r="M52" s="6">
        <f t="shared" si="16"/>
        <v>7.3570555546146723E-3</v>
      </c>
      <c r="N52" s="6">
        <f t="shared" si="17"/>
        <v>7.6021722116602648E-3</v>
      </c>
      <c r="O52" s="7">
        <f t="shared" si="18"/>
        <v>5.8837352672696823E-3</v>
      </c>
      <c r="P52" s="7">
        <f t="shared" si="19"/>
        <v>0</v>
      </c>
      <c r="Q52" s="7">
        <f t="shared" si="20"/>
        <v>0.45791533993218581</v>
      </c>
      <c r="R52" s="7">
        <f t="shared" si="21"/>
        <v>0.67512464654728699</v>
      </c>
      <c r="S52" s="7">
        <f t="shared" si="22"/>
        <v>0.80172825841340456</v>
      </c>
      <c r="T52" s="7">
        <f t="shared" si="23"/>
        <v>1</v>
      </c>
    </row>
    <row r="53" spans="1:20">
      <c r="A53" s="7" t="s">
        <v>30</v>
      </c>
      <c r="B53" s="1" t="s">
        <v>29</v>
      </c>
      <c r="C53" s="5">
        <v>46423</v>
      </c>
      <c r="D53" s="5">
        <v>183595</v>
      </c>
      <c r="E53" s="5">
        <v>165289</v>
      </c>
      <c r="F53" s="5">
        <v>167941</v>
      </c>
      <c r="G53" s="5">
        <v>163121</v>
      </c>
      <c r="H53" s="5">
        <v>66030</v>
      </c>
      <c r="I53" s="6">
        <f t="shared" si="12"/>
        <v>2.9960721850552E-2</v>
      </c>
      <c r="J53" s="6">
        <f t="shared" si="13"/>
        <v>3.0060404064748861E-2</v>
      </c>
      <c r="K53" s="6">
        <f t="shared" si="14"/>
        <v>2.8372959130950351E-2</v>
      </c>
      <c r="L53" s="6">
        <f t="shared" si="15"/>
        <v>2.7617636964590797E-2</v>
      </c>
      <c r="M53" s="6">
        <f t="shared" si="16"/>
        <v>2.7352484538445583E-2</v>
      </c>
      <c r="N53" s="6">
        <f t="shared" si="17"/>
        <v>2.681757832759522E-2</v>
      </c>
      <c r="O53" s="7">
        <f t="shared" si="18"/>
        <v>0.96926069351961019</v>
      </c>
      <c r="P53" s="7">
        <f t="shared" si="19"/>
        <v>1</v>
      </c>
      <c r="Q53" s="7">
        <f t="shared" si="20"/>
        <v>0.47963749193638483</v>
      </c>
      <c r="R53" s="7">
        <f t="shared" si="21"/>
        <v>0.2467165064804934</v>
      </c>
      <c r="S53" s="7">
        <f t="shared" si="22"/>
        <v>0.16495064928153427</v>
      </c>
      <c r="T53" s="7">
        <f t="shared" si="23"/>
        <v>0</v>
      </c>
    </row>
    <row r="54" spans="1:20">
      <c r="A54" s="7" t="s">
        <v>30</v>
      </c>
      <c r="B54" s="1" t="s">
        <v>40</v>
      </c>
      <c r="C54" s="5">
        <v>1396</v>
      </c>
      <c r="D54" s="5">
        <v>4398</v>
      </c>
      <c r="E54" s="5">
        <v>2614</v>
      </c>
      <c r="F54" s="5">
        <v>2490</v>
      </c>
      <c r="G54" s="5">
        <v>2113</v>
      </c>
      <c r="H54" s="5">
        <v>826</v>
      </c>
      <c r="I54" s="6">
        <f t="shared" si="12"/>
        <v>9.0095788086445492E-4</v>
      </c>
      <c r="J54" s="6">
        <f t="shared" si="13"/>
        <v>7.200939953526267E-4</v>
      </c>
      <c r="K54" s="6">
        <f t="shared" si="14"/>
        <v>4.487105322695655E-4</v>
      </c>
      <c r="L54" s="6">
        <f t="shared" si="15"/>
        <v>4.0947663787777304E-4</v>
      </c>
      <c r="M54" s="6">
        <f t="shared" si="16"/>
        <v>3.5431244186668497E-4</v>
      </c>
      <c r="N54" s="6">
        <f t="shared" si="17"/>
        <v>3.3547356805381875E-4</v>
      </c>
      <c r="O54" s="7">
        <f t="shared" si="18"/>
        <v>1</v>
      </c>
      <c r="P54" s="7">
        <f t="shared" si="19"/>
        <v>0.68016109127258129</v>
      </c>
      <c r="Q54" s="7">
        <f t="shared" si="20"/>
        <v>0.20024775515508678</v>
      </c>
      <c r="R54" s="7">
        <f t="shared" si="21"/>
        <v>0.13086670690498131</v>
      </c>
      <c r="S54" s="7">
        <f t="shared" si="22"/>
        <v>3.3314582537632302E-2</v>
      </c>
      <c r="T54" s="7">
        <f t="shared" si="23"/>
        <v>0</v>
      </c>
    </row>
    <row r="55" spans="1:20">
      <c r="A55" s="7" t="s">
        <v>30</v>
      </c>
      <c r="B55" s="1" t="s">
        <v>64</v>
      </c>
      <c r="C55" s="5">
        <v>20353</v>
      </c>
      <c r="D55" s="5">
        <v>76658</v>
      </c>
      <c r="E55" s="5">
        <v>59394</v>
      </c>
      <c r="F55" s="5">
        <v>57133</v>
      </c>
      <c r="G55" s="5">
        <v>54012</v>
      </c>
      <c r="H55" s="5">
        <v>21956</v>
      </c>
      <c r="I55" s="6">
        <f t="shared" si="12"/>
        <v>1.3135527040998747E-2</v>
      </c>
      <c r="J55" s="6">
        <f t="shared" si="13"/>
        <v>1.2551379148645214E-2</v>
      </c>
      <c r="K55" s="6">
        <f t="shared" si="14"/>
        <v>1.0195376187306263E-2</v>
      </c>
      <c r="L55" s="6">
        <f t="shared" si="15"/>
        <v>9.3954332336830555E-3</v>
      </c>
      <c r="M55" s="6">
        <f t="shared" si="16"/>
        <v>9.0568497918141928E-3</v>
      </c>
      <c r="N55" s="6">
        <f t="shared" si="17"/>
        <v>8.9172610898179717E-3</v>
      </c>
      <c r="O55" s="7">
        <f t="shared" si="18"/>
        <v>1</v>
      </c>
      <c r="P55" s="7">
        <f t="shared" si="19"/>
        <v>0.86151942549046279</v>
      </c>
      <c r="Q55" s="7">
        <f t="shared" si="20"/>
        <v>0.30299538063277448</v>
      </c>
      <c r="R55" s="7">
        <f t="shared" si="21"/>
        <v>0.11335751453301184</v>
      </c>
      <c r="S55" s="7">
        <f t="shared" si="22"/>
        <v>3.3091489159697833E-2</v>
      </c>
      <c r="T55" s="7">
        <f t="shared" si="23"/>
        <v>0</v>
      </c>
    </row>
    <row r="56" spans="1:20">
      <c r="A56" s="7" t="s">
        <v>30</v>
      </c>
      <c r="B56" s="1" t="s">
        <v>72</v>
      </c>
      <c r="C56" s="5">
        <v>6192</v>
      </c>
      <c r="D56" s="5">
        <v>24795</v>
      </c>
      <c r="E56" s="5">
        <v>23398</v>
      </c>
      <c r="F56" s="5">
        <v>22930</v>
      </c>
      <c r="G56" s="5">
        <v>22123</v>
      </c>
      <c r="H56" s="5">
        <v>8854</v>
      </c>
      <c r="I56" s="6">
        <f t="shared" si="12"/>
        <v>3.9962257867569521E-3</v>
      </c>
      <c r="J56" s="6">
        <f t="shared" si="13"/>
        <v>4.0597386572915816E-3</v>
      </c>
      <c r="K56" s="6">
        <f t="shared" si="14"/>
        <v>4.0164227368183984E-3</v>
      </c>
      <c r="L56" s="6">
        <f t="shared" si="15"/>
        <v>3.7708029343523435E-3</v>
      </c>
      <c r="M56" s="6">
        <f t="shared" si="16"/>
        <v>3.7096328213046242E-3</v>
      </c>
      <c r="N56" s="6">
        <f t="shared" si="17"/>
        <v>3.5959842270563086E-3</v>
      </c>
      <c r="O56" s="7">
        <f t="shared" si="18"/>
        <v>0.86304633143362519</v>
      </c>
      <c r="P56" s="7">
        <f t="shared" si="19"/>
        <v>1</v>
      </c>
      <c r="Q56" s="7">
        <f t="shared" si="20"/>
        <v>0.90659729018392743</v>
      </c>
      <c r="R56" s="7">
        <f t="shared" si="21"/>
        <v>0.37696396174015079</v>
      </c>
      <c r="S56" s="7">
        <f t="shared" si="22"/>
        <v>0.24506201308019646</v>
      </c>
      <c r="T56" s="7">
        <f t="shared" si="23"/>
        <v>0</v>
      </c>
    </row>
    <row r="57" spans="1:20">
      <c r="A57" s="7" t="s">
        <v>30</v>
      </c>
      <c r="B57" s="1" t="s">
        <v>81</v>
      </c>
      <c r="C57" s="5">
        <v>28723</v>
      </c>
      <c r="D57" s="5">
        <v>108128</v>
      </c>
      <c r="E57" s="5">
        <v>88880</v>
      </c>
      <c r="F57" s="5">
        <v>88641</v>
      </c>
      <c r="G57" s="5">
        <v>85438</v>
      </c>
      <c r="H57" s="5">
        <v>34626</v>
      </c>
      <c r="I57" s="6">
        <f t="shared" si="12"/>
        <v>1.8537402014376602E-2</v>
      </c>
      <c r="J57" s="6">
        <f t="shared" si="13"/>
        <v>1.7704029906659577E-2</v>
      </c>
      <c r="K57" s="6">
        <f t="shared" si="14"/>
        <v>1.5256844723840467E-2</v>
      </c>
      <c r="L57" s="6">
        <f t="shared" si="15"/>
        <v>1.457687496310188E-2</v>
      </c>
      <c r="M57" s="6">
        <f t="shared" si="16"/>
        <v>1.4326429913963951E-2</v>
      </c>
      <c r="N57" s="6">
        <f t="shared" si="17"/>
        <v>1.4063084464202819E-2</v>
      </c>
      <c r="O57" s="7">
        <f t="shared" si="18"/>
        <v>1</v>
      </c>
      <c r="P57" s="7">
        <f t="shared" si="19"/>
        <v>0.8137431913645341</v>
      </c>
      <c r="Q57" s="7">
        <f t="shared" si="20"/>
        <v>0.26680275734816422</v>
      </c>
      <c r="R57" s="7">
        <f t="shared" si="21"/>
        <v>0.11483103135563216</v>
      </c>
      <c r="S57" s="7">
        <f t="shared" si="22"/>
        <v>5.8857121071101526E-2</v>
      </c>
      <c r="T57" s="7">
        <f t="shared" si="23"/>
        <v>0</v>
      </c>
    </row>
    <row r="58" spans="1:20">
      <c r="A58" s="7" t="s">
        <v>30</v>
      </c>
      <c r="B58" s="1" t="s">
        <v>86</v>
      </c>
      <c r="C58" s="5">
        <v>572</v>
      </c>
      <c r="D58" s="5">
        <v>2397</v>
      </c>
      <c r="E58" s="5">
        <v>3233</v>
      </c>
      <c r="F58" s="5">
        <v>3063</v>
      </c>
      <c r="G58" s="5">
        <v>2587</v>
      </c>
      <c r="H58" s="5">
        <v>1504</v>
      </c>
      <c r="I58" s="6">
        <f t="shared" si="12"/>
        <v>3.6916039244589414E-4</v>
      </c>
      <c r="J58" s="6">
        <f t="shared" si="13"/>
        <v>3.9246596336067443E-4</v>
      </c>
      <c r="K58" s="6">
        <f t="shared" si="14"/>
        <v>5.5496601026300892E-4</v>
      </c>
      <c r="L58" s="6">
        <f t="shared" si="15"/>
        <v>5.0370559912434488E-4</v>
      </c>
      <c r="M58" s="6">
        <f t="shared" si="16"/>
        <v>4.3379379418320588E-4</v>
      </c>
      <c r="N58" s="6">
        <f t="shared" si="17"/>
        <v>6.1083807064520989E-4</v>
      </c>
      <c r="O58" s="7">
        <f t="shared" si="18"/>
        <v>0</v>
      </c>
      <c r="P58" s="7">
        <f t="shared" si="19"/>
        <v>9.643245122356639E-2</v>
      </c>
      <c r="Q58" s="7">
        <f t="shared" si="20"/>
        <v>0.76881580128338411</v>
      </c>
      <c r="R58" s="7">
        <f t="shared" si="21"/>
        <v>0.55671341962946608</v>
      </c>
      <c r="S58" s="7">
        <f t="shared" si="22"/>
        <v>0.26743637318464908</v>
      </c>
      <c r="T58" s="7">
        <f t="shared" si="23"/>
        <v>1</v>
      </c>
    </row>
    <row r="59" spans="1:20">
      <c r="A59" s="7" t="s">
        <v>30</v>
      </c>
      <c r="B59" s="1" t="s">
        <v>101</v>
      </c>
      <c r="C59" s="5">
        <v>20601</v>
      </c>
      <c r="D59" s="5">
        <v>82809</v>
      </c>
      <c r="E59" s="5">
        <v>77416</v>
      </c>
      <c r="F59" s="5">
        <v>80735</v>
      </c>
      <c r="G59" s="5">
        <v>77260</v>
      </c>
      <c r="H59" s="5">
        <v>32376</v>
      </c>
      <c r="I59" s="6">
        <f t="shared" si="12"/>
        <v>1.3295582595765498E-2</v>
      </c>
      <c r="J59" s="6">
        <f t="shared" si="13"/>
        <v>1.3558495602809383E-2</v>
      </c>
      <c r="K59" s="6">
        <f t="shared" si="14"/>
        <v>1.3288972672601639E-2</v>
      </c>
      <c r="L59" s="6">
        <f t="shared" si="15"/>
        <v>1.3276745525727713E-2</v>
      </c>
      <c r="M59" s="6">
        <f t="shared" si="16"/>
        <v>1.2955125063237141E-2</v>
      </c>
      <c r="N59" s="6">
        <f t="shared" si="17"/>
        <v>1.3149264212240237E-2</v>
      </c>
      <c r="O59" s="7">
        <f t="shared" si="18"/>
        <v>0.56425945617053785</v>
      </c>
      <c r="P59" s="7">
        <f t="shared" si="19"/>
        <v>1</v>
      </c>
      <c r="Q59" s="7">
        <f t="shared" si="20"/>
        <v>0.55330445798891448</v>
      </c>
      <c r="R59" s="7">
        <f t="shared" si="21"/>
        <v>0.53303971837700914</v>
      </c>
      <c r="S59" s="7">
        <f t="shared" si="22"/>
        <v>0</v>
      </c>
      <c r="T59" s="7">
        <f t="shared" si="23"/>
        <v>0.32175775294022524</v>
      </c>
    </row>
    <row r="60" spans="1:20">
      <c r="A60" s="7" t="s">
        <v>56</v>
      </c>
      <c r="B60" s="1" t="s">
        <v>55</v>
      </c>
      <c r="C60" s="5">
        <v>13356</v>
      </c>
      <c r="D60" s="5">
        <v>46930</v>
      </c>
      <c r="E60" s="5">
        <v>41798</v>
      </c>
      <c r="F60" s="5">
        <v>42825</v>
      </c>
      <c r="G60" s="5">
        <v>40854</v>
      </c>
      <c r="H60" s="5">
        <v>16517</v>
      </c>
      <c r="I60" s="6">
        <f t="shared" si="12"/>
        <v>8.6197660865513313E-3</v>
      </c>
      <c r="J60" s="6">
        <f t="shared" si="13"/>
        <v>7.6839497957932627E-3</v>
      </c>
      <c r="K60" s="6">
        <f t="shared" si="14"/>
        <v>7.1749054429239862E-3</v>
      </c>
      <c r="L60" s="6">
        <f t="shared" si="15"/>
        <v>7.0425048261508558E-3</v>
      </c>
      <c r="M60" s="6">
        <f t="shared" si="16"/>
        <v>6.8504876952302637E-3</v>
      </c>
      <c r="N60" s="6">
        <f t="shared" si="17"/>
        <v>6.7082529340737581E-3</v>
      </c>
      <c r="O60" s="7">
        <f t="shared" si="18"/>
        <v>1</v>
      </c>
      <c r="P60" s="7">
        <f t="shared" si="19"/>
        <v>0.51043167579300874</v>
      </c>
      <c r="Q60" s="7">
        <f t="shared" si="20"/>
        <v>0.24412728117794269</v>
      </c>
      <c r="R60" s="7">
        <f t="shared" si="21"/>
        <v>0.17486245995423219</v>
      </c>
      <c r="S60" s="7">
        <f t="shared" si="22"/>
        <v>7.4409512156456067E-2</v>
      </c>
      <c r="T60" s="7">
        <f t="shared" si="23"/>
        <v>0</v>
      </c>
    </row>
    <row r="61" spans="1:20">
      <c r="A61" s="7" t="s">
        <v>56</v>
      </c>
      <c r="B61" s="1" t="s">
        <v>57</v>
      </c>
      <c r="C61" s="5">
        <v>8247</v>
      </c>
      <c r="D61" s="5">
        <v>33219</v>
      </c>
      <c r="E61" s="5">
        <v>32440</v>
      </c>
      <c r="F61" s="5">
        <v>33803</v>
      </c>
      <c r="G61" s="5">
        <v>33456</v>
      </c>
      <c r="H61" s="5">
        <v>14044</v>
      </c>
      <c r="I61" s="6">
        <f t="shared" si="12"/>
        <v>5.3224925812959591E-3</v>
      </c>
      <c r="J61" s="6">
        <f t="shared" si="13"/>
        <v>5.4390182882262175E-3</v>
      </c>
      <c r="K61" s="6">
        <f t="shared" si="14"/>
        <v>5.5685423361991988E-3</v>
      </c>
      <c r="L61" s="6">
        <f t="shared" si="15"/>
        <v>5.5588509197519523E-3</v>
      </c>
      <c r="M61" s="6">
        <f t="shared" si="16"/>
        <v>5.6099749432521589E-3</v>
      </c>
      <c r="N61" s="6">
        <f t="shared" si="17"/>
        <v>5.70386294158333E-3</v>
      </c>
      <c r="O61" s="7">
        <f t="shared" si="18"/>
        <v>0</v>
      </c>
      <c r="P61" s="7">
        <f t="shared" si="19"/>
        <v>0.30554473830229945</v>
      </c>
      <c r="Q61" s="7">
        <f t="shared" si="20"/>
        <v>0.64517272584538499</v>
      </c>
      <c r="R61" s="7">
        <f t="shared" si="21"/>
        <v>0.619760639704386</v>
      </c>
      <c r="S61" s="7">
        <f t="shared" si="22"/>
        <v>0.75381411848465485</v>
      </c>
      <c r="T61" s="7">
        <f t="shared" si="23"/>
        <v>1</v>
      </c>
    </row>
    <row r="62" spans="1:20">
      <c r="A62" s="7" t="s">
        <v>56</v>
      </c>
      <c r="B62" s="1" t="s">
        <v>84</v>
      </c>
      <c r="C62" s="5">
        <v>3283</v>
      </c>
      <c r="D62" s="5">
        <v>15685</v>
      </c>
      <c r="E62" s="5">
        <v>14787</v>
      </c>
      <c r="F62" s="5">
        <v>15021</v>
      </c>
      <c r="G62" s="5">
        <v>15461</v>
      </c>
      <c r="H62" s="5">
        <v>6136</v>
      </c>
      <c r="I62" s="6">
        <f t="shared" si="12"/>
        <v>2.1187999447550183E-3</v>
      </c>
      <c r="J62" s="6">
        <f t="shared" si="13"/>
        <v>2.5681387715111299E-3</v>
      </c>
      <c r="K62" s="6">
        <f t="shared" si="14"/>
        <v>2.5382871616947459E-3</v>
      </c>
      <c r="L62" s="6">
        <f t="shared" si="15"/>
        <v>2.470180151631337E-3</v>
      </c>
      <c r="M62" s="6">
        <f t="shared" si="16"/>
        <v>2.592534152248375E-3</v>
      </c>
      <c r="N62" s="6">
        <f t="shared" si="17"/>
        <v>2.4920893626855104E-3</v>
      </c>
      <c r="O62" s="7">
        <f t="shared" si="18"/>
        <v>0</v>
      </c>
      <c r="P62" s="7">
        <f t="shared" si="19"/>
        <v>0.94850407601695685</v>
      </c>
      <c r="Q62" s="7">
        <f t="shared" si="20"/>
        <v>0.88549066186150416</v>
      </c>
      <c r="R62" s="7">
        <f t="shared" si="21"/>
        <v>0.74172437058230845</v>
      </c>
      <c r="S62" s="7">
        <f t="shared" si="22"/>
        <v>1</v>
      </c>
      <c r="T62" s="7">
        <f t="shared" si="23"/>
        <v>0.7879722680480632</v>
      </c>
    </row>
    <row r="63" spans="1:20">
      <c r="A63" s="7" t="s">
        <v>56</v>
      </c>
      <c r="B63" s="1" t="s">
        <v>97</v>
      </c>
      <c r="C63" s="5">
        <v>13295</v>
      </c>
      <c r="D63" s="5">
        <v>48474</v>
      </c>
      <c r="E63" s="5">
        <v>39090</v>
      </c>
      <c r="F63" s="5">
        <v>38309</v>
      </c>
      <c r="G63" s="5">
        <v>36936</v>
      </c>
      <c r="H63" s="5">
        <v>14904</v>
      </c>
      <c r="I63" s="6">
        <f t="shared" si="12"/>
        <v>8.5803975831611236E-3</v>
      </c>
      <c r="J63" s="6">
        <f t="shared" si="13"/>
        <v>7.9367522352713112E-3</v>
      </c>
      <c r="K63" s="6">
        <f t="shared" si="14"/>
        <v>6.7100591837862726E-3</v>
      </c>
      <c r="L63" s="6">
        <f t="shared" si="15"/>
        <v>6.2998556307066692E-3</v>
      </c>
      <c r="M63" s="6">
        <f t="shared" si="16"/>
        <v>6.1935089222848443E-3</v>
      </c>
      <c r="N63" s="6">
        <f t="shared" si="17"/>
        <v>6.0531453490001389E-3</v>
      </c>
      <c r="O63" s="7">
        <f t="shared" si="18"/>
        <v>1</v>
      </c>
      <c r="P63" s="7">
        <f t="shared" si="19"/>
        <v>0.7453181209261075</v>
      </c>
      <c r="Q63" s="7">
        <f t="shared" si="20"/>
        <v>0.25993204236071066</v>
      </c>
      <c r="R63" s="7">
        <f t="shared" si="21"/>
        <v>9.761996779416636E-2</v>
      </c>
      <c r="S63" s="7">
        <f t="shared" si="22"/>
        <v>5.5539993747915045E-2</v>
      </c>
      <c r="T63" s="7">
        <f t="shared" si="23"/>
        <v>0</v>
      </c>
    </row>
    <row r="64" spans="1:20">
      <c r="A64" s="7" t="s">
        <v>56</v>
      </c>
      <c r="B64" s="1" t="s">
        <v>100</v>
      </c>
      <c r="C64" s="5">
        <v>74984</v>
      </c>
      <c r="D64" s="5">
        <v>298903</v>
      </c>
      <c r="E64" s="5">
        <v>301909</v>
      </c>
      <c r="F64" s="5">
        <v>327852</v>
      </c>
      <c r="G64" s="5">
        <v>324793</v>
      </c>
      <c r="H64" s="5">
        <v>134013</v>
      </c>
      <c r="I64" s="6">
        <f t="shared" si="12"/>
        <v>4.839357144608903E-2</v>
      </c>
      <c r="J64" s="6">
        <f t="shared" si="13"/>
        <v>4.8940030807841331E-2</v>
      </c>
      <c r="K64" s="6">
        <f t="shared" si="14"/>
        <v>5.1824693223784336E-2</v>
      </c>
      <c r="L64" s="6">
        <f t="shared" si="15"/>
        <v>5.3914752884138009E-2</v>
      </c>
      <c r="M64" s="6">
        <f t="shared" si="16"/>
        <v>5.4461997601138762E-2</v>
      </c>
      <c r="N64" s="6">
        <f t="shared" si="17"/>
        <v>5.4428352633893957E-2</v>
      </c>
      <c r="O64" s="7">
        <f t="shared" si="18"/>
        <v>0</v>
      </c>
      <c r="P64" s="7">
        <f t="shared" si="19"/>
        <v>9.0049602284041061E-2</v>
      </c>
      <c r="Q64" s="7">
        <f t="shared" si="20"/>
        <v>0.56540554173838964</v>
      </c>
      <c r="R64" s="7">
        <f t="shared" si="21"/>
        <v>0.90982098108825582</v>
      </c>
      <c r="S64" s="7">
        <f t="shared" si="22"/>
        <v>1</v>
      </c>
      <c r="T64" s="7">
        <f t="shared" si="23"/>
        <v>0.99445573425709277</v>
      </c>
    </row>
    <row r="65" spans="1:20">
      <c r="A65" s="7" t="s">
        <v>56</v>
      </c>
      <c r="B65" s="1" t="s">
        <v>102</v>
      </c>
      <c r="C65" s="5">
        <v>26371</v>
      </c>
      <c r="D65" s="5">
        <v>102504</v>
      </c>
      <c r="E65" s="5">
        <v>109522</v>
      </c>
      <c r="F65" s="5">
        <v>118638</v>
      </c>
      <c r="G65" s="5">
        <v>119492</v>
      </c>
      <c r="H65" s="5">
        <v>52462</v>
      </c>
      <c r="I65" s="6">
        <f t="shared" si="12"/>
        <v>1.7019455785298381E-2</v>
      </c>
      <c r="J65" s="6">
        <f t="shared" si="13"/>
        <v>1.6783200295503783E-2</v>
      </c>
      <c r="K65" s="6">
        <f t="shared" si="14"/>
        <v>1.8800181681418268E-2</v>
      </c>
      <c r="L65" s="6">
        <f t="shared" si="15"/>
        <v>1.9509835086161942E-2</v>
      </c>
      <c r="M65" s="6">
        <f t="shared" si="16"/>
        <v>2.0036678799590119E-2</v>
      </c>
      <c r="N65" s="6">
        <f t="shared" si="17"/>
        <v>2.1307039137093749E-2</v>
      </c>
      <c r="O65" s="7">
        <f t="shared" si="18"/>
        <v>5.2224559288580476E-2</v>
      </c>
      <c r="P65" s="7">
        <f t="shared" si="19"/>
        <v>0</v>
      </c>
      <c r="Q65" s="7">
        <f t="shared" si="20"/>
        <v>0.44585615370984105</v>
      </c>
      <c r="R65" s="7">
        <f t="shared" si="21"/>
        <v>0.60272588970031593</v>
      </c>
      <c r="S65" s="7">
        <f t="shared" si="22"/>
        <v>0.71918532423733628</v>
      </c>
      <c r="T65" s="7">
        <f t="shared" si="23"/>
        <v>1</v>
      </c>
    </row>
    <row r="66" spans="1:20">
      <c r="A66" s="7" t="s">
        <v>47</v>
      </c>
      <c r="B66" s="1" t="s">
        <v>46</v>
      </c>
      <c r="C66" s="5">
        <v>2767</v>
      </c>
      <c r="D66" s="5">
        <v>9757</v>
      </c>
      <c r="E66" s="5">
        <v>9507</v>
      </c>
      <c r="F66" s="5">
        <v>10132</v>
      </c>
      <c r="G66" s="5">
        <v>9850</v>
      </c>
      <c r="H66" s="5">
        <v>4142</v>
      </c>
      <c r="I66" s="6">
        <f t="shared" si="12"/>
        <v>1.7857811291919388E-3</v>
      </c>
      <c r="J66" s="6">
        <f t="shared" si="13"/>
        <v>1.5975345867793493E-3</v>
      </c>
      <c r="K66" s="6">
        <f t="shared" si="14"/>
        <v>1.6319399503774902E-3</v>
      </c>
      <c r="L66" s="6">
        <f t="shared" si="15"/>
        <v>1.6661916847299583E-3</v>
      </c>
      <c r="M66" s="6">
        <f t="shared" si="16"/>
        <v>1.6516694521471116E-3</v>
      </c>
      <c r="N66" s="6">
        <f t="shared" si="17"/>
        <v>1.6822415482795608E-3</v>
      </c>
      <c r="O66" s="7">
        <f t="shared" si="18"/>
        <v>1</v>
      </c>
      <c r="P66" s="7">
        <f t="shared" si="19"/>
        <v>0</v>
      </c>
      <c r="Q66" s="7">
        <f t="shared" si="20"/>
        <v>0.18276757255245055</v>
      </c>
      <c r="R66" s="7">
        <f t="shared" si="21"/>
        <v>0.36471903850499277</v>
      </c>
      <c r="S66" s="7">
        <f t="shared" si="22"/>
        <v>0.28757428781407363</v>
      </c>
      <c r="T66" s="7">
        <f t="shared" si="23"/>
        <v>0.4499788437789996</v>
      </c>
    </row>
    <row r="67" spans="1:20">
      <c r="A67" s="7" t="s">
        <v>47</v>
      </c>
      <c r="B67" s="1" t="s">
        <v>85</v>
      </c>
      <c r="C67" s="5">
        <v>2732</v>
      </c>
      <c r="D67" s="5">
        <v>11462</v>
      </c>
      <c r="E67" s="5">
        <v>9733</v>
      </c>
      <c r="F67" s="5">
        <v>10178</v>
      </c>
      <c r="G67" s="5">
        <v>10853</v>
      </c>
      <c r="H67" s="5">
        <v>4189</v>
      </c>
      <c r="I67" s="6">
        <f t="shared" ref="I67:I75" si="24">C67/SUM(C$3:C$73)</f>
        <v>1.7631926436401796E-3</v>
      </c>
      <c r="J67" s="6">
        <f t="shared" ref="J67:J75" si="25">D67/SUM(D$3:D$73)</f>
        <v>1.876697902394681E-3</v>
      </c>
      <c r="K67" s="6">
        <f t="shared" ref="K67:K75" si="26">E67/SUM(E$3:E$73)</f>
        <v>1.6707343575285696E-3</v>
      </c>
      <c r="L67" s="6">
        <f t="shared" ref="L67:L75" si="27">F67/SUM(F$3:F$73)</f>
        <v>1.6737563133815156E-3</v>
      </c>
      <c r="M67" s="6">
        <f t="shared" ref="M67:M75" si="28">G67/SUM(G$3:G$73)</f>
        <v>1.8198546765637159E-3</v>
      </c>
      <c r="N67" s="6">
        <f t="shared" ref="N67:N75" si="29">H67/SUM(H$3:H$73)</f>
        <v>1.7013302379872235E-3</v>
      </c>
      <c r="O67" s="7">
        <f t="shared" ref="O67:O75" si="30">(I67-MIN($I67:$N67))/((MAX($I67:$N67)-MIN($I67:$N67)))</f>
        <v>0.44890607302235647</v>
      </c>
      <c r="P67" s="7">
        <f t="shared" ref="P67:P75" si="31">(J67-MIN($I67:$N67))/((MAX($I67:$N67)-MIN($I67:$N67)))</f>
        <v>1</v>
      </c>
      <c r="Q67" s="7">
        <f t="shared" ref="Q67:Q75" si="32">(K67-MIN($I67:$N67))/((MAX($I67:$N67)-MIN($I67:$N67)))</f>
        <v>0</v>
      </c>
      <c r="R67" s="7">
        <f t="shared" ref="R67:R75" si="33">(L67-MIN($I67:$N67))/((MAX($I67:$N67)-MIN($I67:$N67)))</f>
        <v>1.4672285111962302E-2</v>
      </c>
      <c r="S67" s="7">
        <f t="shared" ref="S67:S75" si="34">(M67-MIN($I67:$N67))/((MAX($I67:$N67)-MIN($I67:$N67)))</f>
        <v>0.72401317005921351</v>
      </c>
      <c r="T67" s="7">
        <f t="shared" ref="T67:T75" si="35">(N67-MIN($I67:$N67))/((MAX($I67:$N67)-MIN($I67:$N67)))</f>
        <v>0.14854997994204783</v>
      </c>
    </row>
    <row r="68" spans="1:20">
      <c r="A68" s="7" t="s">
        <v>54</v>
      </c>
      <c r="B68" s="1" t="s">
        <v>53</v>
      </c>
      <c r="C68" s="5">
        <v>1361</v>
      </c>
      <c r="D68" s="5">
        <v>7803</v>
      </c>
      <c r="E68" s="5">
        <v>9754</v>
      </c>
      <c r="F68" s="5">
        <v>11980</v>
      </c>
      <c r="G68" s="5">
        <v>12009</v>
      </c>
      <c r="H68" s="5">
        <v>4548</v>
      </c>
      <c r="I68" s="6">
        <f t="shared" si="24"/>
        <v>8.783693953126956E-4</v>
      </c>
      <c r="J68" s="6">
        <f t="shared" si="25"/>
        <v>1.2776019658336849E-3</v>
      </c>
      <c r="K68" s="6">
        <f t="shared" si="26"/>
        <v>1.6743391475735816E-3</v>
      </c>
      <c r="L68" s="6">
        <f t="shared" si="27"/>
        <v>1.9700924183838238E-3</v>
      </c>
      <c r="M68" s="6">
        <f t="shared" si="28"/>
        <v>2.0136952741964123E-3</v>
      </c>
      <c r="N68" s="6">
        <f t="shared" si="29"/>
        <v>1.8471353359670311E-3</v>
      </c>
      <c r="O68" s="7">
        <f t="shared" si="30"/>
        <v>0</v>
      </c>
      <c r="P68" s="7">
        <f t="shared" si="31"/>
        <v>0.35164579434543114</v>
      </c>
      <c r="Q68" s="7">
        <f t="shared" si="32"/>
        <v>0.70109363933772484</v>
      </c>
      <c r="R68" s="7">
        <f t="shared" si="33"/>
        <v>0.96159441388276989</v>
      </c>
      <c r="S68" s="7">
        <f t="shared" si="34"/>
        <v>1</v>
      </c>
      <c r="T68" s="7">
        <f t="shared" si="35"/>
        <v>0.85329327787969789</v>
      </c>
    </row>
    <row r="69" spans="1:20">
      <c r="A69" s="7" t="s">
        <v>54</v>
      </c>
      <c r="B69" s="1" t="s">
        <v>87</v>
      </c>
      <c r="C69" s="5">
        <v>7335</v>
      </c>
      <c r="D69" s="5">
        <v>30979</v>
      </c>
      <c r="E69" s="5">
        <v>29465</v>
      </c>
      <c r="F69" s="5">
        <v>29997</v>
      </c>
      <c r="G69" s="5">
        <v>28957</v>
      </c>
      <c r="H69" s="5">
        <v>11704</v>
      </c>
      <c r="I69" s="6">
        <f t="shared" si="24"/>
        <v>4.733901186347261E-3</v>
      </c>
      <c r="J69" s="6">
        <f t="shared" si="25"/>
        <v>5.0722582724031422E-3</v>
      </c>
      <c r="K69" s="6">
        <f t="shared" si="26"/>
        <v>5.0578637464891918E-3</v>
      </c>
      <c r="L69" s="6">
        <f t="shared" si="27"/>
        <v>4.9329601230600631E-3</v>
      </c>
      <c r="M69" s="6">
        <f t="shared" si="28"/>
        <v>4.8555728249567425E-3</v>
      </c>
      <c r="N69" s="6">
        <f t="shared" si="29"/>
        <v>4.7534898795422451E-3</v>
      </c>
      <c r="O69" s="7">
        <f t="shared" si="30"/>
        <v>0</v>
      </c>
      <c r="P69" s="7">
        <f t="shared" si="31"/>
        <v>1</v>
      </c>
      <c r="Q69" s="7">
        <f t="shared" si="32"/>
        <v>0.95745758990378249</v>
      </c>
      <c r="R69" s="7">
        <f t="shared" si="33"/>
        <v>0.58831023470844834</v>
      </c>
      <c r="S69" s="7">
        <f t="shared" si="34"/>
        <v>0.35959536130236952</v>
      </c>
      <c r="T69" s="7">
        <f t="shared" si="35"/>
        <v>5.7893550932605446E-2</v>
      </c>
    </row>
    <row r="70" spans="1:20">
      <c r="A70" s="7" t="s">
        <v>54</v>
      </c>
      <c r="B70" s="1" t="s">
        <v>107</v>
      </c>
      <c r="C70" s="5">
        <v>50762</v>
      </c>
      <c r="D70" s="5">
        <v>191548</v>
      </c>
      <c r="E70" s="5">
        <v>185762</v>
      </c>
      <c r="F70" s="5">
        <v>198370</v>
      </c>
      <c r="G70" s="5">
        <v>198797</v>
      </c>
      <c r="H70" s="5">
        <v>81153</v>
      </c>
      <c r="I70" s="6">
        <f t="shared" si="24"/>
        <v>3.2761048673668663E-2</v>
      </c>
      <c r="J70" s="6">
        <f t="shared" si="25"/>
        <v>3.1362565853070699E-2</v>
      </c>
      <c r="K70" s="6">
        <f t="shared" si="26"/>
        <v>3.1887286111499248E-2</v>
      </c>
      <c r="L70" s="6">
        <f t="shared" si="27"/>
        <v>3.2621638817595916E-2</v>
      </c>
      <c r="M70" s="6">
        <f t="shared" si="28"/>
        <v>3.3334713916597904E-2</v>
      </c>
      <c r="N70" s="6">
        <f t="shared" si="29"/>
        <v>3.295966884778638E-2</v>
      </c>
      <c r="O70" s="7">
        <f t="shared" si="30"/>
        <v>0.70911654477745711</v>
      </c>
      <c r="P70" s="7">
        <f t="shared" si="31"/>
        <v>0</v>
      </c>
      <c r="Q70" s="7">
        <f t="shared" si="32"/>
        <v>0.26606534678237187</v>
      </c>
      <c r="R70" s="7">
        <f t="shared" si="33"/>
        <v>0.63842719915935386</v>
      </c>
      <c r="S70" s="7">
        <f t="shared" si="34"/>
        <v>1</v>
      </c>
      <c r="T70" s="7">
        <f t="shared" si="35"/>
        <v>0.80982915241122821</v>
      </c>
    </row>
    <row r="71" spans="1:20">
      <c r="A71" s="7" t="s">
        <v>54</v>
      </c>
      <c r="B71" s="1" t="s">
        <v>108</v>
      </c>
      <c r="C71" s="5">
        <v>29348</v>
      </c>
      <c r="D71" s="5">
        <v>101831</v>
      </c>
      <c r="E71" s="5">
        <v>88690</v>
      </c>
      <c r="F71" s="5">
        <v>86202</v>
      </c>
      <c r="G71" s="5">
        <v>83533</v>
      </c>
      <c r="H71" s="5">
        <v>34886</v>
      </c>
      <c r="I71" s="6">
        <f t="shared" si="24"/>
        <v>1.8940767827800874E-2</v>
      </c>
      <c r="J71" s="6">
        <f t="shared" si="25"/>
        <v>1.6673008558606942E-2</v>
      </c>
      <c r="K71" s="6">
        <f t="shared" si="26"/>
        <v>1.5224229956766552E-2</v>
      </c>
      <c r="L71" s="6">
        <f t="shared" si="27"/>
        <v>1.4175785196120397E-2</v>
      </c>
      <c r="M71" s="6">
        <f t="shared" si="28"/>
        <v>1.4006995365096921E-2</v>
      </c>
      <c r="N71" s="6">
        <f t="shared" si="29"/>
        <v>1.4168681471096272E-2</v>
      </c>
      <c r="O71" s="7">
        <f t="shared" si="30"/>
        <v>1</v>
      </c>
      <c r="P71" s="7">
        <f t="shared" si="31"/>
        <v>0.54035998085913206</v>
      </c>
      <c r="Q71" s="7">
        <f t="shared" si="32"/>
        <v>0.24671478080335427</v>
      </c>
      <c r="R71" s="7">
        <f t="shared" si="33"/>
        <v>3.4211109713594555E-2</v>
      </c>
      <c r="S71" s="7">
        <f t="shared" si="34"/>
        <v>0</v>
      </c>
      <c r="T71" s="7">
        <f t="shared" si="35"/>
        <v>3.2771293613880821E-2</v>
      </c>
    </row>
    <row r="72" spans="1:20">
      <c r="A72" s="7" t="s">
        <v>54</v>
      </c>
      <c r="B72" s="1" t="s">
        <v>110</v>
      </c>
      <c r="C72" s="5">
        <v>14443</v>
      </c>
      <c r="D72" s="5">
        <v>49437</v>
      </c>
      <c r="E72" s="5">
        <v>43816</v>
      </c>
      <c r="F72" s="5">
        <v>44203</v>
      </c>
      <c r="G72" s="5">
        <v>45307</v>
      </c>
      <c r="H72" s="5">
        <v>19015</v>
      </c>
      <c r="I72" s="6">
        <f t="shared" si="24"/>
        <v>9.3212999092588261E-3</v>
      </c>
      <c r="J72" s="6">
        <f t="shared" si="25"/>
        <v>8.0944262956452479E-3</v>
      </c>
      <c r="K72" s="6">
        <f t="shared" si="26"/>
        <v>7.5213086005827398E-3</v>
      </c>
      <c r="L72" s="6">
        <f t="shared" si="27"/>
        <v>7.2691147887996794E-3</v>
      </c>
      <c r="M72" s="6">
        <f t="shared" si="28"/>
        <v>7.5971764333430643E-3</v>
      </c>
      <c r="N72" s="6">
        <f t="shared" si="29"/>
        <v>7.7227964849193257E-3</v>
      </c>
      <c r="O72" s="7">
        <f t="shared" si="30"/>
        <v>1</v>
      </c>
      <c r="P72" s="7">
        <f t="shared" si="31"/>
        <v>0.40216230914924334</v>
      </c>
      <c r="Q72" s="7">
        <f t="shared" si="32"/>
        <v>0.12289038121796522</v>
      </c>
      <c r="R72" s="7">
        <f t="shared" si="33"/>
        <v>0</v>
      </c>
      <c r="S72" s="7">
        <f t="shared" si="34"/>
        <v>0.15985967409703561</v>
      </c>
      <c r="T72" s="7">
        <f t="shared" si="35"/>
        <v>0.221072500524778</v>
      </c>
    </row>
    <row r="73" spans="1:20">
      <c r="A73" s="7" t="s">
        <v>36</v>
      </c>
      <c r="B73" s="1" t="s">
        <v>35</v>
      </c>
      <c r="C73" s="5">
        <v>53036</v>
      </c>
      <c r="D73" s="5">
        <v>214085</v>
      </c>
      <c r="E73" s="5">
        <v>201610</v>
      </c>
      <c r="F73" s="5">
        <v>209188</v>
      </c>
      <c r="G73" s="5">
        <v>205289</v>
      </c>
      <c r="H73" s="5">
        <v>84401</v>
      </c>
      <c r="I73" s="6">
        <f t="shared" si="24"/>
        <v>3.4228654849231537E-2</v>
      </c>
      <c r="J73" s="6">
        <f t="shared" si="25"/>
        <v>3.5052597315840629E-2</v>
      </c>
      <c r="K73" s="6">
        <f t="shared" si="26"/>
        <v>3.4607700998801491E-2</v>
      </c>
      <c r="L73" s="6">
        <f t="shared" si="27"/>
        <v>3.4400642138303447E-2</v>
      </c>
      <c r="M73" s="6">
        <f t="shared" si="28"/>
        <v>3.4423306615414047E-2</v>
      </c>
      <c r="N73" s="6">
        <f t="shared" si="29"/>
        <v>3.4278819149286141E-2</v>
      </c>
      <c r="O73" s="7">
        <f t="shared" si="30"/>
        <v>0</v>
      </c>
      <c r="P73" s="7">
        <f t="shared" si="31"/>
        <v>1</v>
      </c>
      <c r="Q73" s="7">
        <f t="shared" si="32"/>
        <v>0.46003958398928768</v>
      </c>
      <c r="R73" s="7">
        <f t="shared" si="33"/>
        <v>0.20873701264569908</v>
      </c>
      <c r="S73" s="7">
        <f t="shared" si="34"/>
        <v>0.23624436665292065</v>
      </c>
      <c r="T73" s="7">
        <f t="shared" si="35"/>
        <v>6.0883255915979199E-2</v>
      </c>
    </row>
    <row r="74" spans="1:20">
      <c r="A74" s="7" t="s">
        <v>36</v>
      </c>
      <c r="B74" s="1" t="s">
        <v>50</v>
      </c>
      <c r="C74" s="5">
        <v>328</v>
      </c>
      <c r="D74" s="5">
        <v>1576</v>
      </c>
      <c r="E74" s="5">
        <v>1726</v>
      </c>
      <c r="F74" s="5">
        <v>1841</v>
      </c>
      <c r="G74" s="5">
        <v>1845</v>
      </c>
      <c r="H74" s="5">
        <v>631</v>
      </c>
      <c r="I74" s="6">
        <f t="shared" si="24"/>
        <v>2.1168637888505817E-4</v>
      </c>
      <c r="J74" s="6">
        <f t="shared" si="25"/>
        <v>2.5804186827552058E-4</v>
      </c>
      <c r="K74" s="6">
        <f t="shared" si="26"/>
        <v>2.9627941036620888E-4</v>
      </c>
      <c r="L74" s="6">
        <f t="shared" si="27"/>
        <v>3.02749594511237E-4</v>
      </c>
      <c r="M74" s="6">
        <f t="shared" si="28"/>
        <v>3.0937361819405291E-4</v>
      </c>
      <c r="N74" s="6">
        <f t="shared" si="29"/>
        <v>2.5627581288372836E-4</v>
      </c>
      <c r="O74" s="7">
        <f t="shared" si="30"/>
        <v>0</v>
      </c>
      <c r="P74" s="7">
        <f t="shared" si="31"/>
        <v>0.47452962862258041</v>
      </c>
      <c r="Q74" s="7">
        <f t="shared" si="32"/>
        <v>0.86595784750937932</v>
      </c>
      <c r="R74" s="7">
        <f t="shared" si="33"/>
        <v>0.93219151518998877</v>
      </c>
      <c r="S74" s="7">
        <f t="shared" si="34"/>
        <v>1</v>
      </c>
      <c r="T74" s="7">
        <f t="shared" si="35"/>
        <v>0.45645095832454885</v>
      </c>
    </row>
    <row r="75" spans="1:20">
      <c r="A75" s="7" t="s">
        <v>36</v>
      </c>
      <c r="B75" s="1" t="s">
        <v>60</v>
      </c>
      <c r="C75" s="5">
        <v>45077</v>
      </c>
      <c r="D75" s="5">
        <v>195756</v>
      </c>
      <c r="E75" s="5">
        <v>202397</v>
      </c>
      <c r="F75" s="5">
        <v>220114</v>
      </c>
      <c r="G75" s="5">
        <v>219368</v>
      </c>
      <c r="H75" s="5">
        <v>88175</v>
      </c>
      <c r="I75" s="6">
        <f t="shared" si="24"/>
        <v>2.9092033234761484E-2</v>
      </c>
      <c r="J75" s="6">
        <f t="shared" si="25"/>
        <v>3.2051550739938331E-2</v>
      </c>
      <c r="K75" s="6">
        <f t="shared" si="26"/>
        <v>3.474279479715503E-2</v>
      </c>
      <c r="L75" s="6">
        <f t="shared" si="27"/>
        <v>3.6197405891497239E-2</v>
      </c>
      <c r="M75" s="6">
        <f t="shared" si="28"/>
        <v>3.678410399782818E-2</v>
      </c>
      <c r="N75" s="6">
        <f t="shared" si="29"/>
        <v>3.5811600318578045E-2</v>
      </c>
      <c r="O75" s="7">
        <f t="shared" si="30"/>
        <v>0</v>
      </c>
      <c r="P75" s="7">
        <f t="shared" si="31"/>
        <v>0.38474912625438956</v>
      </c>
      <c r="Q75" s="7">
        <f t="shared" si="32"/>
        <v>0.73462163004604042</v>
      </c>
      <c r="R75" s="7">
        <f t="shared" si="33"/>
        <v>0.92372689690428245</v>
      </c>
      <c r="S75" s="7">
        <f t="shared" si="34"/>
        <v>1</v>
      </c>
      <c r="T75" s="7">
        <f t="shared" si="35"/>
        <v>0.87357062757150006</v>
      </c>
    </row>
  </sheetData>
  <mergeCells count="4">
    <mergeCell ref="A1:B1"/>
    <mergeCell ref="C1:H1"/>
    <mergeCell ref="I1:N1"/>
    <mergeCell ref="O1:T1"/>
  </mergeCells>
  <phoneticPr fontId="2" type="noConversion"/>
  <conditionalFormatting sqref="I1:I2 I76:I65536 K2 M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{FF33758C-6ED6-444D-98E4-69E96425B71B}</x14:id>
        </ext>
      </extLst>
    </cfRule>
  </conditionalFormatting>
  <conditionalFormatting sqref="I76:N65536 I1:N2">
    <cfRule type="dataBar" priority="2">
      <dataBar>
        <cfvo type="min"/>
        <cfvo type="max"/>
        <color theme="2" tint="-9.9978637043366805E-2"/>
      </dataBar>
      <extLst>
        <ext xmlns:x14="http://schemas.microsoft.com/office/spreadsheetml/2009/9/main" uri="{B025F937-C7B1-47D3-B67F-A62EFF666E3E}">
          <x14:id>{885CFC62-562F-4CFF-918F-194E3F8C2E83}</x14:id>
        </ext>
      </extLst>
    </cfRule>
  </conditionalFormatting>
  <conditionalFormatting sqref="J1:J2 J76:J65536 L2 N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{35ACEB9B-0105-4860-813B-2448DAC31C51}</x14:id>
        </ext>
      </extLst>
    </cfRule>
  </conditionalFormatting>
  <conditionalFormatting sqref="K76:K65536 K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{62DD4F21-81CD-43E5-BE7D-6F34C7774F3D}</x14:id>
        </ext>
      </extLst>
    </cfRule>
  </conditionalFormatting>
  <conditionalFormatting sqref="L76:L65536 L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{FECFAF34-0580-4020-996C-973098619ACE}</x14:id>
        </ext>
      </extLst>
    </cfRule>
  </conditionalFormatting>
  <conditionalFormatting sqref="M76:M65536 M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{DC77C84C-80BD-468E-9BA1-24E8CD053CFC}</x14:id>
        </ext>
      </extLst>
    </cfRule>
  </conditionalFormatting>
  <conditionalFormatting sqref="N76:N65536 N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{C7919DDB-406B-4FA4-B9EA-E44DE6BAB81F}</x14:id>
        </ext>
      </extLst>
    </cfRule>
  </conditionalFormatting>
  <conditionalFormatting sqref="O3:T7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33758C-6ED6-444D-98E4-69E96425B71B}">
            <x14:dataBar minLength="0" maxLength="100" negativeBarColorSameAsPositive="1" axisPosition="none">
              <x14:cfvo type="min"/>
              <x14:cfvo type="max"/>
            </x14:dataBar>
          </x14:cfRule>
          <xm:sqref>I1:I2 I76:I65536 K2 M2</xm:sqref>
        </x14:conditionalFormatting>
        <x14:conditionalFormatting xmlns:xm="http://schemas.microsoft.com/office/excel/2006/main">
          <x14:cfRule type="dataBar" id="{885CFC62-562F-4CFF-918F-194E3F8C2E83}">
            <x14:dataBar minLength="0" maxLength="100" negativeBarColorSameAsPositive="1" axisPosition="none">
              <x14:cfvo type="min"/>
              <x14:cfvo type="max"/>
            </x14:dataBar>
          </x14:cfRule>
          <xm:sqref>I76:N65536 I1:N2</xm:sqref>
        </x14:conditionalFormatting>
        <x14:conditionalFormatting xmlns:xm="http://schemas.microsoft.com/office/excel/2006/main">
          <x14:cfRule type="dataBar" id="{35ACEB9B-0105-4860-813B-2448DAC31C51}">
            <x14:dataBar minLength="0" maxLength="100" negativeBarColorSameAsPositive="1" axisPosition="none">
              <x14:cfvo type="min"/>
              <x14:cfvo type="max"/>
            </x14:dataBar>
          </x14:cfRule>
          <xm:sqref>J1:J2 J76:J65536 L2 N2</xm:sqref>
        </x14:conditionalFormatting>
        <x14:conditionalFormatting xmlns:xm="http://schemas.microsoft.com/office/excel/2006/main">
          <x14:cfRule type="dataBar" id="{62DD4F21-81CD-43E5-BE7D-6F34C7774F3D}">
            <x14:dataBar minLength="0" maxLength="100" negativeBarColorSameAsPositive="1" axisPosition="none">
              <x14:cfvo type="min"/>
              <x14:cfvo type="max"/>
            </x14:dataBar>
          </x14:cfRule>
          <xm:sqref>K76:K65536 K1</xm:sqref>
        </x14:conditionalFormatting>
        <x14:conditionalFormatting xmlns:xm="http://schemas.microsoft.com/office/excel/2006/main">
          <x14:cfRule type="dataBar" id="{FECFAF34-0580-4020-996C-973098619ACE}">
            <x14:dataBar minLength="0" maxLength="100" negativeBarColorSameAsPositive="1" axisPosition="none">
              <x14:cfvo type="min"/>
              <x14:cfvo type="max"/>
            </x14:dataBar>
          </x14:cfRule>
          <xm:sqref>L76:L65536 L1</xm:sqref>
        </x14:conditionalFormatting>
        <x14:conditionalFormatting xmlns:xm="http://schemas.microsoft.com/office/excel/2006/main">
          <x14:cfRule type="dataBar" id="{DC77C84C-80BD-468E-9BA1-24E8CD053CFC}">
            <x14:dataBar minLength="0" maxLength="100" negativeBarColorSameAsPositive="1" axisPosition="none">
              <x14:cfvo type="min"/>
              <x14:cfvo type="max"/>
            </x14:dataBar>
          </x14:cfRule>
          <xm:sqref>M76:M65536 M1</xm:sqref>
        </x14:conditionalFormatting>
        <x14:conditionalFormatting xmlns:xm="http://schemas.microsoft.com/office/excel/2006/main">
          <x14:cfRule type="dataBar" id="{C7919DDB-406B-4FA4-B9EA-E44DE6BAB81F}">
            <x14:dataBar minLength="0" maxLength="100" negativeBarColorSameAsPositive="1" axisPosition="none">
              <x14:cfvo type="min"/>
              <x14:cfvo type="max"/>
            </x14:dataBar>
          </x14:cfRule>
          <xm:sqref>N76:N65536 N1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yuan</dc:creator>
  <cp:lastModifiedBy>Wu, Yi</cp:lastModifiedBy>
  <dcterms:created xsi:type="dcterms:W3CDTF">2015-06-05T18:19:34Z</dcterms:created>
  <dcterms:modified xsi:type="dcterms:W3CDTF">2024-06-23T17:06:32Z</dcterms:modified>
</cp:coreProperties>
</file>